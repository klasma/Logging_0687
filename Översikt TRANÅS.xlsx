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45700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45700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45700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45700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45700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45700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45700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45700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45700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45700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45700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45700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45700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40949-2019</t>
        </is>
      </c>
      <c r="B15" s="1" t="n">
        <v>43697</v>
      </c>
      <c r="C15" s="1" t="n">
        <v>45700</v>
      </c>
      <c r="D15" t="inlineStr">
        <is>
          <t>JÖNKÖPINGS LÄN</t>
        </is>
      </c>
      <c r="E15" t="inlineStr">
        <is>
          <t>TRANÅS</t>
        </is>
      </c>
      <c r="G15" t="n">
        <v>5.7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HYPERLINK("https://klasma.github.io/Logging_0687/artfynd/A 40949-2019 artfynd.xlsx", "A 40949-2019")</f>
        <v/>
      </c>
      <c r="T15">
        <f>HYPERLINK("https://klasma.github.io/Logging_0687/kartor/A 40949-2019 karta.png", "A 40949-2019")</f>
        <v/>
      </c>
      <c r="U15">
        <f>HYPERLINK("https://klasma.github.io/Logging_0687/knärot/A 40949-2019 karta knärot.png", "A 40949-2019")</f>
        <v/>
      </c>
      <c r="V15">
        <f>HYPERLINK("https://klasma.github.io/Logging_0687/klagomål/A 40949-2019 FSC-klagomål.docx", "A 40949-2019")</f>
        <v/>
      </c>
      <c r="W15">
        <f>HYPERLINK("https://klasma.github.io/Logging_0687/klagomålsmail/A 40949-2019 FSC-klagomål mail.docx", "A 40949-2019")</f>
        <v/>
      </c>
      <c r="X15">
        <f>HYPERLINK("https://klasma.github.io/Logging_0687/tillsyn/A 40949-2019 tillsynsbegäran.docx", "A 40949-2019")</f>
        <v/>
      </c>
      <c r="Y15">
        <f>HYPERLINK("https://klasma.github.io/Logging_0687/tillsynsmail/A 40949-2019 tillsynsbegäran mail.docx", "A 40949-2019")</f>
        <v/>
      </c>
    </row>
    <row r="16" ht="15" customHeight="1">
      <c r="A16" t="inlineStr">
        <is>
          <t>A 54655-2019</t>
        </is>
      </c>
      <c r="B16" s="1" t="n">
        <v>43754</v>
      </c>
      <c r="C16" s="1" t="n">
        <v>45700</v>
      </c>
      <c r="D16" t="inlineStr">
        <is>
          <t>JÖNKÖPINGS LÄN</t>
        </is>
      </c>
      <c r="E16" t="inlineStr">
        <is>
          <t>TRANÅS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54655-2019 artfynd.xlsx", "A 54655-2019")</f>
        <v/>
      </c>
      <c r="T16">
        <f>HYPERLINK("https://klasma.github.io/Logging_0687/kartor/A 54655-2019 karta.png", "A 54655-2019")</f>
        <v/>
      </c>
      <c r="V16">
        <f>HYPERLINK("https://klasma.github.io/Logging_0687/klagomål/A 54655-2019 FSC-klagomål.docx", "A 54655-2019")</f>
        <v/>
      </c>
      <c r="W16">
        <f>HYPERLINK("https://klasma.github.io/Logging_0687/klagomålsmail/A 54655-2019 FSC-klagomål mail.docx", "A 54655-2019")</f>
        <v/>
      </c>
      <c r="X16">
        <f>HYPERLINK("https://klasma.github.io/Logging_0687/tillsyn/A 54655-2019 tillsynsbegäran.docx", "A 54655-2019")</f>
        <v/>
      </c>
      <c r="Y16">
        <f>HYPERLINK("https://klasma.github.io/Logging_0687/tillsynsmail/A 54655-2019 tillsynsbegäran mail.docx", "A 54655-2019")</f>
        <v/>
      </c>
    </row>
    <row r="17" ht="15" customHeight="1">
      <c r="A17" t="inlineStr">
        <is>
          <t>A 62740-2019</t>
        </is>
      </c>
      <c r="B17" s="1" t="n">
        <v>43790</v>
      </c>
      <c r="C17" s="1" t="n">
        <v>45700</v>
      </c>
      <c r="D17" t="inlineStr">
        <is>
          <t>JÖNKÖPINGS LÄN</t>
        </is>
      </c>
      <c r="E17" t="inlineStr">
        <is>
          <t>TRANÅS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HYPERLINK("https://klasma.github.io/Logging_0687/artfynd/A 62740-2019 artfynd.xlsx", "A 62740-2019")</f>
        <v/>
      </c>
      <c r="T17">
        <f>HYPERLINK("https://klasma.github.io/Logging_0687/kartor/A 62740-2019 karta.png", "A 62740-2019")</f>
        <v/>
      </c>
      <c r="V17">
        <f>HYPERLINK("https://klasma.github.io/Logging_0687/klagomål/A 62740-2019 FSC-klagomål.docx", "A 62740-2019")</f>
        <v/>
      </c>
      <c r="W17">
        <f>HYPERLINK("https://klasma.github.io/Logging_0687/klagomålsmail/A 62740-2019 FSC-klagomål mail.docx", "A 62740-2019")</f>
        <v/>
      </c>
      <c r="X17">
        <f>HYPERLINK("https://klasma.github.io/Logging_0687/tillsyn/A 62740-2019 tillsynsbegäran.docx", "A 62740-2019")</f>
        <v/>
      </c>
      <c r="Y17">
        <f>HYPERLINK("https://klasma.github.io/Logging_0687/tillsynsmail/A 62740-2019 tillsynsbegäran mail.docx", "A 62740-2019")</f>
        <v/>
      </c>
    </row>
    <row r="18" ht="15" customHeight="1">
      <c r="A18" t="inlineStr">
        <is>
          <t>A 67740-2019</t>
        </is>
      </c>
      <c r="B18" s="1" t="n">
        <v>43809</v>
      </c>
      <c r="C18" s="1" t="n">
        <v>45700</v>
      </c>
      <c r="D18" t="inlineStr">
        <is>
          <t>JÖNKÖPINGS LÄN</t>
        </is>
      </c>
      <c r="E18" t="inlineStr">
        <is>
          <t>TRANÅS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HYPERLINK("https://klasma.github.io/Logging_0687/artfynd/A 67740-2019 artfynd.xlsx", "A 67740-2019")</f>
        <v/>
      </c>
      <c r="T18">
        <f>HYPERLINK("https://klasma.github.io/Logging_0687/kartor/A 67740-2019 karta.png", "A 67740-2019")</f>
        <v/>
      </c>
      <c r="V18">
        <f>HYPERLINK("https://klasma.github.io/Logging_0687/klagomål/A 67740-2019 FSC-klagomål.docx", "A 67740-2019")</f>
        <v/>
      </c>
      <c r="W18">
        <f>HYPERLINK("https://klasma.github.io/Logging_0687/klagomålsmail/A 67740-2019 FSC-klagomål mail.docx", "A 67740-2019")</f>
        <v/>
      </c>
      <c r="X18">
        <f>HYPERLINK("https://klasma.github.io/Logging_0687/tillsyn/A 67740-2019 tillsynsbegäran.docx", "A 67740-2019")</f>
        <v/>
      </c>
      <c r="Y18">
        <f>HYPERLINK("https://klasma.github.io/Logging_0687/tillsynsmail/A 67740-2019 tillsynsbegäran mail.docx", "A 67740-2019")</f>
        <v/>
      </c>
    </row>
    <row r="19" ht="15" customHeight="1">
      <c r="A19" t="inlineStr">
        <is>
          <t>A 67742-2019</t>
        </is>
      </c>
      <c r="B19" s="1" t="n">
        <v>43809</v>
      </c>
      <c r="C19" s="1" t="n">
        <v>45700</v>
      </c>
      <c r="D19" t="inlineStr">
        <is>
          <t>JÖNKÖPINGS LÄN</t>
        </is>
      </c>
      <c r="E19" t="inlineStr">
        <is>
          <t>TRANÅS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HYPERLINK("https://klasma.github.io/Logging_0687/artfynd/A 67742-2019 artfynd.xlsx", "A 67742-2019")</f>
        <v/>
      </c>
      <c r="T19">
        <f>HYPERLINK("https://klasma.github.io/Logging_0687/kartor/A 67742-2019 karta.png", "A 67742-2019")</f>
        <v/>
      </c>
      <c r="V19">
        <f>HYPERLINK("https://klasma.github.io/Logging_0687/klagomål/A 67742-2019 FSC-klagomål.docx", "A 67742-2019")</f>
        <v/>
      </c>
      <c r="W19">
        <f>HYPERLINK("https://klasma.github.io/Logging_0687/klagomålsmail/A 67742-2019 FSC-klagomål mail.docx", "A 67742-2019")</f>
        <v/>
      </c>
      <c r="X19">
        <f>HYPERLINK("https://klasma.github.io/Logging_0687/tillsyn/A 67742-2019 tillsynsbegäran.docx", "A 67742-2019")</f>
        <v/>
      </c>
      <c r="Y19">
        <f>HYPERLINK("https://klasma.github.io/Logging_0687/tillsynsmail/A 67742-2019 tillsynsbegäran mail.docx", "A 67742-2019")</f>
        <v/>
      </c>
    </row>
    <row r="20" ht="15" customHeight="1">
      <c r="A20" t="inlineStr">
        <is>
          <t>A 6334-2020</t>
        </is>
      </c>
      <c r="B20" s="1" t="n">
        <v>43866</v>
      </c>
      <c r="C20" s="1" t="n">
        <v>45700</v>
      </c>
      <c r="D20" t="inlineStr">
        <is>
          <t>JÖNKÖPINGS LÄN</t>
        </is>
      </c>
      <c r="E20" t="inlineStr">
        <is>
          <t>TRANÅS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HYPERLINK("https://klasma.github.io/Logging_0687/artfynd/A 6334-2020 artfynd.xlsx", "A 6334-2020")</f>
        <v/>
      </c>
      <c r="T20">
        <f>HYPERLINK("https://klasma.github.io/Logging_0687/kartor/A 6334-2020 karta.png", "A 6334-2020")</f>
        <v/>
      </c>
      <c r="V20">
        <f>HYPERLINK("https://klasma.github.io/Logging_0687/klagomål/A 6334-2020 FSC-klagomål.docx", "A 6334-2020")</f>
        <v/>
      </c>
      <c r="W20">
        <f>HYPERLINK("https://klasma.github.io/Logging_0687/klagomålsmail/A 6334-2020 FSC-klagomål mail.docx", "A 6334-2020")</f>
        <v/>
      </c>
      <c r="X20">
        <f>HYPERLINK("https://klasma.github.io/Logging_0687/tillsyn/A 6334-2020 tillsynsbegäran.docx", "A 6334-2020")</f>
        <v/>
      </c>
      <c r="Y20">
        <f>HYPERLINK("https://klasma.github.io/Logging_0687/tillsynsmail/A 6334-2020 tillsynsbegäran mail.docx", "A 6334-2020")</f>
        <v/>
      </c>
    </row>
    <row r="21" ht="15" customHeight="1">
      <c r="A21" t="inlineStr">
        <is>
          <t>A 27834-2020</t>
        </is>
      </c>
      <c r="B21" s="1" t="n">
        <v>43994</v>
      </c>
      <c r="C21" s="1" t="n">
        <v>45700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HYPERLINK("https://klasma.github.io/Logging_0687/artfynd/A 27834-2020 artfynd.xlsx", "A 27834-2020")</f>
        <v/>
      </c>
      <c r="T21">
        <f>HYPERLINK("https://klasma.github.io/Logging_0687/kartor/A 27834-2020 karta.png", "A 27834-2020")</f>
        <v/>
      </c>
      <c r="V21">
        <f>HYPERLINK("https://klasma.github.io/Logging_0687/klagomål/A 27834-2020 FSC-klagomål.docx", "A 27834-2020")</f>
        <v/>
      </c>
      <c r="W21">
        <f>HYPERLINK("https://klasma.github.io/Logging_0687/klagomålsmail/A 27834-2020 FSC-klagomål mail.docx", "A 27834-2020")</f>
        <v/>
      </c>
      <c r="X21">
        <f>HYPERLINK("https://klasma.github.io/Logging_0687/tillsyn/A 27834-2020 tillsynsbegäran.docx", "A 27834-2020")</f>
        <v/>
      </c>
      <c r="Y21">
        <f>HYPERLINK("https://klasma.github.io/Logging_0687/tillsynsmail/A 27834-2020 tillsynsbegäran mail.docx", "A 27834-2020")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45700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45700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45700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45700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45700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45700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45700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45700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45700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45700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45700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31857-2024</t>
        </is>
      </c>
      <c r="B33" s="1" t="n">
        <v>45509</v>
      </c>
      <c r="C33" s="1" t="n">
        <v>45700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31857-2024 artfynd.xlsx", "A 31857-2024")</f>
        <v/>
      </c>
      <c r="T33">
        <f>HYPERLINK("https://klasma.github.io/Logging_0687/kartor/A 31857-2024 karta.png", "A 31857-2024")</f>
        <v/>
      </c>
      <c r="V33">
        <f>HYPERLINK("https://klasma.github.io/Logging_0687/klagomål/A 31857-2024 FSC-klagomål.docx", "A 31857-2024")</f>
        <v/>
      </c>
      <c r="W33">
        <f>HYPERLINK("https://klasma.github.io/Logging_0687/klagomålsmail/A 31857-2024 FSC-klagomål mail.docx", "A 31857-2024")</f>
        <v/>
      </c>
      <c r="X33">
        <f>HYPERLINK("https://klasma.github.io/Logging_0687/tillsyn/A 31857-2024 tillsynsbegäran.docx", "A 31857-2024")</f>
        <v/>
      </c>
      <c r="Y33">
        <f>HYPERLINK("https://klasma.github.io/Logging_0687/tillsynsmail/A 31857-2024 tillsynsbegäran mail.docx", "A 31857-2024")</f>
        <v/>
      </c>
    </row>
    <row r="34" ht="15" customHeight="1">
      <c r="A34" t="inlineStr">
        <is>
          <t>A 17769-2019</t>
        </is>
      </c>
      <c r="B34" s="1" t="n">
        <v>43556</v>
      </c>
      <c r="C34" s="1" t="n">
        <v>45700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19113-2019</t>
        </is>
      </c>
      <c r="B35" s="1" t="n">
        <v>43563</v>
      </c>
      <c r="C35" s="1" t="n">
        <v>45700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19090-2019</t>
        </is>
      </c>
      <c r="B36" s="1" t="n">
        <v>43564</v>
      </c>
      <c r="C36" s="1" t="n">
        <v>45700</v>
      </c>
      <c r="D36" t="inlineStr">
        <is>
          <t>JÖNKÖPINGS LÄN</t>
        </is>
      </c>
      <c r="E36" t="inlineStr">
        <is>
          <t>TRANÅS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19481-2019</t>
        </is>
      </c>
      <c r="B37" s="1" t="n">
        <v>43565</v>
      </c>
      <c r="C37" s="1" t="n">
        <v>45700</v>
      </c>
      <c r="D37" t="inlineStr">
        <is>
          <t>JÖNKÖPINGS LÄN</t>
        </is>
      </c>
      <c r="E37" t="inlineStr">
        <is>
          <t>TRANÅS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19471-2019</t>
        </is>
      </c>
      <c r="B38" s="1" t="n">
        <v>43565</v>
      </c>
      <c r="C38" s="1" t="n">
        <v>45700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21436-2019</t>
        </is>
      </c>
      <c r="B39" s="1" t="n">
        <v>43580</v>
      </c>
      <c r="C39" s="1" t="n">
        <v>45700</v>
      </c>
      <c r="D39" t="inlineStr">
        <is>
          <t>JÖNKÖPINGS LÄN</t>
        </is>
      </c>
      <c r="E39" t="inlineStr">
        <is>
          <t>TRANÅS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21483-2019</t>
        </is>
      </c>
      <c r="B40" s="1" t="n">
        <v>43580</v>
      </c>
      <c r="C40" s="1" t="n">
        <v>45700</v>
      </c>
      <c r="D40" t="inlineStr">
        <is>
          <t>JÖNKÖPINGS LÄN</t>
        </is>
      </c>
      <c r="E40" t="inlineStr">
        <is>
          <t>TRANÅS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21490-2019</t>
        </is>
      </c>
      <c r="B41" s="1" t="n">
        <v>43580</v>
      </c>
      <c r="C41" s="1" t="n">
        <v>45700</v>
      </c>
      <c r="D41" t="inlineStr">
        <is>
          <t>JÖNKÖPINGS LÄN</t>
        </is>
      </c>
      <c r="E41" t="inlineStr">
        <is>
          <t>TRANÅS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21514-2019</t>
        </is>
      </c>
      <c r="B42" s="1" t="n">
        <v>43580</v>
      </c>
      <c r="C42" s="1" t="n">
        <v>45700</v>
      </c>
      <c r="D42" t="inlineStr">
        <is>
          <t>JÖNKÖPINGS LÄN</t>
        </is>
      </c>
      <c r="E42" t="inlineStr">
        <is>
          <t>TRANÅS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21470-2019</t>
        </is>
      </c>
      <c r="B43" s="1" t="n">
        <v>43580</v>
      </c>
      <c r="C43" s="1" t="n">
        <v>45700</v>
      </c>
      <c r="D43" t="inlineStr">
        <is>
          <t>JÖNKÖPINGS LÄN</t>
        </is>
      </c>
      <c r="E43" t="inlineStr">
        <is>
          <t>TRANÅS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21474-2019</t>
        </is>
      </c>
      <c r="B44" s="1" t="n">
        <v>43580</v>
      </c>
      <c r="C44" s="1" t="n">
        <v>45700</v>
      </c>
      <c r="D44" t="inlineStr">
        <is>
          <t>JÖNKÖPINGS LÄN</t>
        </is>
      </c>
      <c r="E44" t="inlineStr">
        <is>
          <t>TRANÅS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21385-2019</t>
        </is>
      </c>
      <c r="B45" s="1" t="n">
        <v>43580</v>
      </c>
      <c r="C45" s="1" t="n">
        <v>45700</v>
      </c>
      <c r="D45" t="inlineStr">
        <is>
          <t>JÖNKÖPINGS LÄN</t>
        </is>
      </c>
      <c r="E45" t="inlineStr">
        <is>
          <t>TRANÅS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21482-2019</t>
        </is>
      </c>
      <c r="B46" s="1" t="n">
        <v>43580</v>
      </c>
      <c r="C46" s="1" t="n">
        <v>45700</v>
      </c>
      <c r="D46" t="inlineStr">
        <is>
          <t>JÖNKÖPINGS LÄN</t>
        </is>
      </c>
      <c r="E46" t="inlineStr">
        <is>
          <t>TRANÅS</t>
        </is>
      </c>
      <c r="G46" t="n">
        <v>11.7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24206-2019</t>
        </is>
      </c>
      <c r="B47" s="1" t="n">
        <v>43598</v>
      </c>
      <c r="C47" s="1" t="n">
        <v>45700</v>
      </c>
      <c r="D47" t="inlineStr">
        <is>
          <t>JÖNKÖPINGS LÄN</t>
        </is>
      </c>
      <c r="E47" t="inlineStr">
        <is>
          <t>TRANÅS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24597-2019</t>
        </is>
      </c>
      <c r="B48" s="1" t="n">
        <v>43600</v>
      </c>
      <c r="C48" s="1" t="n">
        <v>45700</v>
      </c>
      <c r="D48" t="inlineStr">
        <is>
          <t>JÖNKÖPINGS LÄN</t>
        </is>
      </c>
      <c r="E48" t="inlineStr">
        <is>
          <t>TRANÅS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27551-2019</t>
        </is>
      </c>
      <c r="B49" s="1" t="n">
        <v>43619</v>
      </c>
      <c r="C49" s="1" t="n">
        <v>45700</v>
      </c>
      <c r="D49" t="inlineStr">
        <is>
          <t>JÖNKÖPINGS LÄN</t>
        </is>
      </c>
      <c r="E49" t="inlineStr">
        <is>
          <t>TRANÅS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27963-2019</t>
        </is>
      </c>
      <c r="B50" s="1" t="n">
        <v>43620</v>
      </c>
      <c r="C50" s="1" t="n">
        <v>45700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27958-2019</t>
        </is>
      </c>
      <c r="B51" s="1" t="n">
        <v>43620</v>
      </c>
      <c r="C51" s="1" t="n">
        <v>45700</v>
      </c>
      <c r="D51" t="inlineStr">
        <is>
          <t>JÖNKÖPINGS LÄN</t>
        </is>
      </c>
      <c r="E51" t="inlineStr">
        <is>
          <t>TRANÅS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29990-2019</t>
        </is>
      </c>
      <c r="B52" s="1" t="n">
        <v>43633</v>
      </c>
      <c r="C52" s="1" t="n">
        <v>45700</v>
      </c>
      <c r="D52" t="inlineStr">
        <is>
          <t>JÖNKÖPINGS LÄN</t>
        </is>
      </c>
      <c r="E52" t="inlineStr">
        <is>
          <t>TRANÅS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45700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45700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45700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45700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45700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45700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45700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45700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45700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45700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45700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45700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45700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45700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45700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45700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45700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45700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45700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45700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45700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45700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45700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45700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45700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45700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45700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45700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45700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45700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45700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45700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45700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45700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45700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45700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45700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45700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45700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45700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45700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45700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45700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45700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45700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45700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45700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45700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45700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45700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45700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45700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45700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45700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45700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45700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45700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45700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45700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45700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45700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45700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45700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45700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45700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45700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45700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45700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45700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45700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45700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45700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45700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45700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45700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45700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45700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45700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45700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45700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45700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45700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45700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45700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45700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45700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45700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45700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45700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45700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45700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45700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45700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45700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45700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45700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45700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45700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45700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45700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45700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45700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45700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45700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45700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45700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45700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45700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45700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45700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45700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45700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45700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45700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45700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45700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45700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45700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45700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45700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45700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45700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45700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45700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45700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45700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45700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45700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45700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45700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45700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45700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45700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45700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45700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45700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45700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45700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45700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45700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45700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45700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45700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45700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45700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45700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45700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45700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45700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45700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45700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45700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45700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45700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45700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45700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45700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45700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45700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45700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45700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45700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45700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45700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45700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45700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45700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45700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45700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45700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45700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45700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45700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45700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45700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45700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45700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45700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45700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45700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45700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45700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45700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45700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45700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45700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45700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45700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45700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45700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45700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45700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45700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45700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45700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45700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45700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45700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45700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45700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45700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45700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45700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45700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45700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45700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45700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45700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45700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45700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45700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45700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45700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45700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45700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45700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45700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45700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45700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45700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45700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45700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45700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45700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45700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45700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45700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45700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45700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45700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45700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45700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45700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45700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45700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45700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45700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45700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45700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45700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45700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45700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45700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45700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45700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45700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45700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45700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45700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45700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45700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45700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45700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45700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45700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45700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45700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45700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45700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45700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45700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45700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45700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45700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45700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45700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45700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45700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45700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45700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45700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45700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45700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45700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45700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45700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45700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45700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45700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45700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45700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45700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45700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45700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45700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45700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45700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45700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45700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45700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45700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45700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45700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45700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45700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45700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45700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45700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45700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45700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45700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45700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45700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45700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45700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45700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45700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45700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45700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45700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45700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45700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45700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45700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45700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45700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45700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45700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45700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45700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45700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45700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45700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45700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45700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45700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45700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45700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45700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45700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45700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45700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45700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45700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45700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45700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45700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45700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45700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45700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45700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45700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45700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45700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45700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45700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45700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45700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45700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45700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45700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45700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45700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45700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45700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45700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45700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45700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45700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45700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45700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45700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45700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45700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45700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45700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45700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45700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45700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45700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45700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45700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45700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45700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45700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45700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45700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45700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45700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45700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45700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45700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45700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45700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45700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45700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45700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45700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45700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45700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45700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45700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45700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45700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45700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45700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45700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45700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45700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45700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45700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45700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45700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45700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45700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45700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45700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45700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45700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45700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45700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45700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45700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45700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45700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45700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45700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45700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45700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45700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45700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45700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45700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45700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45700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45700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45700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45700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45700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45700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45700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45700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45700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45700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45700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45700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45700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45700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45700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45700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45700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45700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45700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45700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45700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45700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45700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45700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45700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45700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45700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45700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45700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45700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45700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45700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45700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45700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45700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45700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45700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45700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45700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45700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45700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45700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45700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45700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45700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45700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45700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45700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45700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62148-2024</t>
        </is>
      </c>
      <c r="B526" s="1" t="n">
        <v>45646</v>
      </c>
      <c r="C526" s="1" t="n">
        <v>45700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1295-2025</t>
        </is>
      </c>
      <c r="B527" s="1" t="n">
        <v>45667</v>
      </c>
      <c r="C527" s="1" t="n">
        <v>45700</v>
      </c>
      <c r="D527" t="inlineStr">
        <is>
          <t>JÖNKÖPINGS LÄN</t>
        </is>
      </c>
      <c r="E527" t="inlineStr">
        <is>
          <t>TRANÅS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2365-2025</t>
        </is>
      </c>
      <c r="B528" s="1" t="n">
        <v>45673</v>
      </c>
      <c r="C528" s="1" t="n">
        <v>45700</v>
      </c>
      <c r="D528" t="inlineStr">
        <is>
          <t>JÖNKÖPINGS LÄN</t>
        </is>
      </c>
      <c r="E528" t="inlineStr">
        <is>
          <t>TRANÅS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3121-2025</t>
        </is>
      </c>
      <c r="B529" s="1" t="n">
        <v>45678</v>
      </c>
      <c r="C529" s="1" t="n">
        <v>45700</v>
      </c>
      <c r="D529" t="inlineStr">
        <is>
          <t>JÖNKÖPINGS LÄN</t>
        </is>
      </c>
      <c r="E529" t="inlineStr">
        <is>
          <t>TRANÅS</t>
        </is>
      </c>
      <c r="F529" t="inlineStr">
        <is>
          <t>Allmännings- och besparingsskogar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3921-2025</t>
        </is>
      </c>
      <c r="B530" s="1" t="n">
        <v>45684</v>
      </c>
      <c r="C530" s="1" t="n">
        <v>45700</v>
      </c>
      <c r="D530" t="inlineStr">
        <is>
          <t>JÖNKÖPINGS LÄN</t>
        </is>
      </c>
      <c r="E530" t="inlineStr">
        <is>
          <t>TRANÅS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4153-2025</t>
        </is>
      </c>
      <c r="B531" s="1" t="n">
        <v>45685</v>
      </c>
      <c r="C531" s="1" t="n">
        <v>45700</v>
      </c>
      <c r="D531" t="inlineStr">
        <is>
          <t>JÖNKÖPINGS LÄN</t>
        </is>
      </c>
      <c r="E531" t="inlineStr">
        <is>
          <t>TRANÅS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4233-2025</t>
        </is>
      </c>
      <c r="B532" s="1" t="n">
        <v>45685</v>
      </c>
      <c r="C532" s="1" t="n">
        <v>45700</v>
      </c>
      <c r="D532" t="inlineStr">
        <is>
          <t>JÖNKÖPINGS LÄN</t>
        </is>
      </c>
      <c r="E532" t="inlineStr">
        <is>
          <t>TRANÅS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5066-2025</t>
        </is>
      </c>
      <c r="B533" s="1" t="n">
        <v>45691</v>
      </c>
      <c r="C533" s="1" t="n">
        <v>45700</v>
      </c>
      <c r="D533" t="inlineStr">
        <is>
          <t>JÖNKÖPINGS LÄN</t>
        </is>
      </c>
      <c r="E533" t="inlineStr">
        <is>
          <t>TRANÅS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5574-2025</t>
        </is>
      </c>
      <c r="B534" s="1" t="n">
        <v>45693</v>
      </c>
      <c r="C534" s="1" t="n">
        <v>45700</v>
      </c>
      <c r="D534" t="inlineStr">
        <is>
          <t>JÖNKÖPINGS LÄN</t>
        </is>
      </c>
      <c r="E534" t="inlineStr">
        <is>
          <t>TRANÅS</t>
        </is>
      </c>
      <c r="F534" t="inlineStr">
        <is>
          <t>Kommuner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5615-2025</t>
        </is>
      </c>
      <c r="B535" s="1" t="n">
        <v>45693</v>
      </c>
      <c r="C535" s="1" t="n">
        <v>45700</v>
      </c>
      <c r="D535" t="inlineStr">
        <is>
          <t>JÖNKÖPINGS LÄN</t>
        </is>
      </c>
      <c r="E535" t="inlineStr">
        <is>
          <t>TRANÅS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6201-2025</t>
        </is>
      </c>
      <c r="B536" s="1" t="n">
        <v>45698</v>
      </c>
      <c r="C536" s="1" t="n">
        <v>45700</v>
      </c>
      <c r="D536" t="inlineStr">
        <is>
          <t>JÖNKÖPINGS LÄN</t>
        </is>
      </c>
      <c r="E536" t="inlineStr">
        <is>
          <t>TRANÅS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2025-02-12T15:51:11Z</dcterms:created>
  <dcterms:modified xmlns:dcterms="http://purl.org/dc/terms/" xmlns:xsi="http://www.w3.org/2001/XMLSchema-instance" xsi:type="dcterms:W3CDTF">2025-02-12T15:51:11Z</dcterms:modified>
</cp:coreProperties>
</file>