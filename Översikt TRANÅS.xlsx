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46010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46010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46010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46010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46010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46010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59532-2025</t>
        </is>
      </c>
      <c r="B8" s="1" t="n">
        <v>45989.72583333333</v>
      </c>
      <c r="C8" s="1" t="n">
        <v>46010</v>
      </c>
      <c r="D8" t="inlineStr">
        <is>
          <t>JÖNKÖPINGS LÄN</t>
        </is>
      </c>
      <c r="E8" t="inlineStr">
        <is>
          <t>TRANÅS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Hässleklocka</t>
        </is>
      </c>
      <c r="S8">
        <f>HYPERLINK("https://klasma.github.io/Logging_0687/artfynd/A 59532-2025 artfynd.xlsx", "A 59532-2025")</f>
        <v/>
      </c>
      <c r="T8">
        <f>HYPERLINK("https://klasma.github.io/Logging_0687/kartor/A 59532-2025 karta.png", "A 59532-2025")</f>
        <v/>
      </c>
      <c r="V8">
        <f>HYPERLINK("https://klasma.github.io/Logging_0687/klagomål/A 59532-2025 FSC-klagomål.docx", "A 59532-2025")</f>
        <v/>
      </c>
      <c r="W8">
        <f>HYPERLINK("https://klasma.github.io/Logging_0687/klagomålsmail/A 59532-2025 FSC-klagomål mail.docx", "A 59532-2025")</f>
        <v/>
      </c>
      <c r="X8">
        <f>HYPERLINK("https://klasma.github.io/Logging_0687/tillsyn/A 59532-2025 tillsynsbegäran.docx", "A 59532-2025")</f>
        <v/>
      </c>
      <c r="Y8">
        <f>HYPERLINK("https://klasma.github.io/Logging_0687/tillsynsmail/A 59532-2025 tillsynsbegäran mail.docx", "A 59532-2025")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46010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46010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46010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46010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46010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46010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46010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46010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46010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46010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46010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46010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46010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46010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46010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46010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46010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46010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46010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46010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46010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46010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46010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46010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46010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46010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46010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46010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46010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46010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46010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46010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46010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2729-2022</t>
        </is>
      </c>
      <c r="B42" s="1" t="n">
        <v>44580</v>
      </c>
      <c r="C42" s="1" t="n">
        <v>46010</v>
      </c>
      <c r="D42" t="inlineStr">
        <is>
          <t>JÖNKÖPINGS LÄN</t>
        </is>
      </c>
      <c r="E42" t="inlineStr">
        <is>
          <t>TRANÅS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46010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46010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46010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46010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46010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46010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46010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46010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46010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46010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46010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46010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46010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46010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46010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46010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46010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46010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14342-2021</t>
        </is>
      </c>
      <c r="B61" s="1" t="n">
        <v>44278</v>
      </c>
      <c r="C61" s="1" t="n">
        <v>46010</v>
      </c>
      <c r="D61" t="inlineStr">
        <is>
          <t>JÖNKÖPINGS LÄN</t>
        </is>
      </c>
      <c r="E61" t="inlineStr">
        <is>
          <t>TRANÅS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45575-2022</t>
        </is>
      </c>
      <c r="B62" s="1" t="n">
        <v>44845</v>
      </c>
      <c r="C62" s="1" t="n">
        <v>46010</v>
      </c>
      <c r="D62" t="inlineStr">
        <is>
          <t>JÖNKÖPINGS LÄN</t>
        </is>
      </c>
      <c r="E62" t="inlineStr">
        <is>
          <t>TRANÅS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9750-2025</t>
        </is>
      </c>
      <c r="B63" s="1" t="n">
        <v>45716.46211805556</v>
      </c>
      <c r="C63" s="1" t="n">
        <v>46010</v>
      </c>
      <c r="D63" t="inlineStr">
        <is>
          <t>JÖNKÖPINGS LÄN</t>
        </is>
      </c>
      <c r="E63" t="inlineStr">
        <is>
          <t>TRANÅS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23031-2022</t>
        </is>
      </c>
      <c r="B64" s="1" t="n">
        <v>44719</v>
      </c>
      <c r="C64" s="1" t="n">
        <v>46010</v>
      </c>
      <c r="D64" t="inlineStr">
        <is>
          <t>JÖNKÖPINGS LÄN</t>
        </is>
      </c>
      <c r="E64" t="inlineStr">
        <is>
          <t>TRANÅS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73785-2021</t>
        </is>
      </c>
      <c r="B65" s="1" t="n">
        <v>44552</v>
      </c>
      <c r="C65" s="1" t="n">
        <v>46010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14.9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24708-2023</t>
        </is>
      </c>
      <c r="B66" s="1" t="n">
        <v>45084.54755787037</v>
      </c>
      <c r="C66" s="1" t="n">
        <v>46010</v>
      </c>
      <c r="D66" t="inlineStr">
        <is>
          <t>JÖNKÖPINGS LÄN</t>
        </is>
      </c>
      <c r="E66" t="inlineStr">
        <is>
          <t>TRANÅS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33508-2021</t>
        </is>
      </c>
      <c r="B67" s="1" t="n">
        <v>44377</v>
      </c>
      <c r="C67" s="1" t="n">
        <v>46010</v>
      </c>
      <c r="D67" t="inlineStr">
        <is>
          <t>JÖNKÖPINGS LÄN</t>
        </is>
      </c>
      <c r="E67" t="inlineStr">
        <is>
          <t>TRANÅS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20549-2023</t>
        </is>
      </c>
      <c r="B68" s="1" t="n">
        <v>45057.59825231481</v>
      </c>
      <c r="C68" s="1" t="n">
        <v>46010</v>
      </c>
      <c r="D68" t="inlineStr">
        <is>
          <t>JÖNKÖPINGS LÄN</t>
        </is>
      </c>
      <c r="E68" t="inlineStr">
        <is>
          <t>TRANÅS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6043-2023</t>
        </is>
      </c>
      <c r="B69" s="1" t="n">
        <v>44964</v>
      </c>
      <c r="C69" s="1" t="n">
        <v>46010</v>
      </c>
      <c r="D69" t="inlineStr">
        <is>
          <t>JÖNKÖPINGS LÄN</t>
        </is>
      </c>
      <c r="E69" t="inlineStr">
        <is>
          <t>TRANÅS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4668-2023</t>
        </is>
      </c>
      <c r="B70" s="1" t="n">
        <v>44957.42422453704</v>
      </c>
      <c r="C70" s="1" t="n">
        <v>46010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60359-2023</t>
        </is>
      </c>
      <c r="B71" s="1" t="n">
        <v>45259</v>
      </c>
      <c r="C71" s="1" t="n">
        <v>46010</v>
      </c>
      <c r="D71" t="inlineStr">
        <is>
          <t>JÖNKÖPINGS LÄN</t>
        </is>
      </c>
      <c r="E71" t="inlineStr">
        <is>
          <t>TRANÅS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18084-2024</t>
        </is>
      </c>
      <c r="B72" s="1" t="n">
        <v>45420</v>
      </c>
      <c r="C72" s="1" t="n">
        <v>46010</v>
      </c>
      <c r="D72" t="inlineStr">
        <is>
          <t>JÖNKÖPINGS LÄN</t>
        </is>
      </c>
      <c r="E72" t="inlineStr">
        <is>
          <t>TRANÅS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30152-2023</t>
        </is>
      </c>
      <c r="B73" s="1" t="n">
        <v>45110.55721064815</v>
      </c>
      <c r="C73" s="1" t="n">
        <v>46010</v>
      </c>
      <c r="D73" t="inlineStr">
        <is>
          <t>JÖNKÖPINGS LÄN</t>
        </is>
      </c>
      <c r="E73" t="inlineStr">
        <is>
          <t>TRANÅS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37753-2024</t>
        </is>
      </c>
      <c r="B74" s="1" t="n">
        <v>45541</v>
      </c>
      <c r="C74" s="1" t="n">
        <v>46010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19332-2025</t>
        </is>
      </c>
      <c r="B75" s="1" t="n">
        <v>45769.58644675926</v>
      </c>
      <c r="C75" s="1" t="n">
        <v>46010</v>
      </c>
      <c r="D75" t="inlineStr">
        <is>
          <t>JÖNKÖPINGS LÄN</t>
        </is>
      </c>
      <c r="E75" t="inlineStr">
        <is>
          <t>TRANÅS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22726-2022</t>
        </is>
      </c>
      <c r="B76" s="1" t="n">
        <v>44714.64824074074</v>
      </c>
      <c r="C76" s="1" t="n">
        <v>46010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20990-2024</t>
        </is>
      </c>
      <c r="B77" s="1" t="n">
        <v>45439</v>
      </c>
      <c r="C77" s="1" t="n">
        <v>46010</v>
      </c>
      <c r="D77" t="inlineStr">
        <is>
          <t>JÖNKÖPINGS LÄN</t>
        </is>
      </c>
      <c r="E77" t="inlineStr">
        <is>
          <t>TRANÅS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20134-2024</t>
        </is>
      </c>
      <c r="B78" s="1" t="n">
        <v>45434</v>
      </c>
      <c r="C78" s="1" t="n">
        <v>46010</v>
      </c>
      <c r="D78" t="inlineStr">
        <is>
          <t>JÖNKÖPINGS LÄN</t>
        </is>
      </c>
      <c r="E78" t="inlineStr">
        <is>
          <t>TRANÅS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33213-2023</t>
        </is>
      </c>
      <c r="B79" s="1" t="n">
        <v>45114</v>
      </c>
      <c r="C79" s="1" t="n">
        <v>46010</v>
      </c>
      <c r="D79" t="inlineStr">
        <is>
          <t>JÖNKÖPINGS LÄN</t>
        </is>
      </c>
      <c r="E79" t="inlineStr">
        <is>
          <t>TRANÅS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39648-2024</t>
        </is>
      </c>
      <c r="B80" s="1" t="n">
        <v>45552</v>
      </c>
      <c r="C80" s="1" t="n">
        <v>46010</v>
      </c>
      <c r="D80" t="inlineStr">
        <is>
          <t>JÖNKÖPINGS LÄN</t>
        </is>
      </c>
      <c r="E80" t="inlineStr">
        <is>
          <t>TRANÅS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62578-2023</t>
        </is>
      </c>
      <c r="B81" s="1" t="n">
        <v>45270.59327546296</v>
      </c>
      <c r="C81" s="1" t="n">
        <v>46010</v>
      </c>
      <c r="D81" t="inlineStr">
        <is>
          <t>JÖNKÖPINGS LÄN</t>
        </is>
      </c>
      <c r="E81" t="inlineStr">
        <is>
          <t>TRANÅS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23705-2025</t>
        </is>
      </c>
      <c r="B82" s="1" t="n">
        <v>45793.36877314815</v>
      </c>
      <c r="C82" s="1" t="n">
        <v>46010</v>
      </c>
      <c r="D82" t="inlineStr">
        <is>
          <t>JÖNKÖPINGS LÄN</t>
        </is>
      </c>
      <c r="E82" t="inlineStr">
        <is>
          <t>TRANÅS</t>
        </is>
      </c>
      <c r="F82" t="inlineStr">
        <is>
          <t>Kyrkan</t>
        </is>
      </c>
      <c r="G82" t="n">
        <v>13.1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39043-2025</t>
        </is>
      </c>
      <c r="B83" s="1" t="n">
        <v>45888</v>
      </c>
      <c r="C83" s="1" t="n">
        <v>46010</v>
      </c>
      <c r="D83" t="inlineStr">
        <is>
          <t>JÖNKÖPINGS LÄN</t>
        </is>
      </c>
      <c r="E83" t="inlineStr">
        <is>
          <t>TRANÅS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39361-2025</t>
        </is>
      </c>
      <c r="B84" s="1" t="n">
        <v>45889.55912037037</v>
      </c>
      <c r="C84" s="1" t="n">
        <v>46010</v>
      </c>
      <c r="D84" t="inlineStr">
        <is>
          <t>JÖNKÖPINGS LÄN</t>
        </is>
      </c>
      <c r="E84" t="inlineStr">
        <is>
          <t>TRANÅS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47902-2022</t>
        </is>
      </c>
      <c r="B85" s="1" t="n">
        <v>44855</v>
      </c>
      <c r="C85" s="1" t="n">
        <v>46010</v>
      </c>
      <c r="D85" t="inlineStr">
        <is>
          <t>JÖNKÖPINGS LÄN</t>
        </is>
      </c>
      <c r="E85" t="inlineStr">
        <is>
          <t>TRANÅS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17077-2025</t>
        </is>
      </c>
      <c r="B86" s="1" t="n">
        <v>45754</v>
      </c>
      <c r="C86" s="1" t="n">
        <v>46010</v>
      </c>
      <c r="D86" t="inlineStr">
        <is>
          <t>JÖNKÖPINGS LÄN</t>
        </is>
      </c>
      <c r="E86" t="inlineStr">
        <is>
          <t>TRANÅS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39047-2025</t>
        </is>
      </c>
      <c r="B87" s="1" t="n">
        <v>45888.44077546296</v>
      </c>
      <c r="C87" s="1" t="n">
        <v>46010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13581-2025</t>
        </is>
      </c>
      <c r="B88" s="1" t="n">
        <v>45736.58967592593</v>
      </c>
      <c r="C88" s="1" t="n">
        <v>46010</v>
      </c>
      <c r="D88" t="inlineStr">
        <is>
          <t>JÖNKÖPINGS LÄN</t>
        </is>
      </c>
      <c r="E88" t="inlineStr">
        <is>
          <t>TRANÅS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39593-2025</t>
        </is>
      </c>
      <c r="B89" s="1" t="n">
        <v>45890.53728009259</v>
      </c>
      <c r="C89" s="1" t="n">
        <v>46010</v>
      </c>
      <c r="D89" t="inlineStr">
        <is>
          <t>JÖNKÖPINGS LÄN</t>
        </is>
      </c>
      <c r="E89" t="inlineStr">
        <is>
          <t>TRANÅS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23033-2022</t>
        </is>
      </c>
      <c r="B90" s="1" t="n">
        <v>44719</v>
      </c>
      <c r="C90" s="1" t="n">
        <v>46010</v>
      </c>
      <c r="D90" t="inlineStr">
        <is>
          <t>JÖNKÖPINGS LÄN</t>
        </is>
      </c>
      <c r="E90" t="inlineStr">
        <is>
          <t>TRANÅS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17149-2024</t>
        </is>
      </c>
      <c r="B91" s="1" t="n">
        <v>45412</v>
      </c>
      <c r="C91" s="1" t="n">
        <v>46010</v>
      </c>
      <c r="D91" t="inlineStr">
        <is>
          <t>JÖNKÖPINGS LÄN</t>
        </is>
      </c>
      <c r="E91" t="inlineStr">
        <is>
          <t>TRANÅS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2375-2023</t>
        </is>
      </c>
      <c r="B92" s="1" t="n">
        <v>44942</v>
      </c>
      <c r="C92" s="1" t="n">
        <v>46010</v>
      </c>
      <c r="D92" t="inlineStr">
        <is>
          <t>JÖNKÖPINGS LÄN</t>
        </is>
      </c>
      <c r="E92" t="inlineStr">
        <is>
          <t>TRANÅS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14923-2024</t>
        </is>
      </c>
      <c r="B93" s="1" t="n">
        <v>45398.61876157407</v>
      </c>
      <c r="C93" s="1" t="n">
        <v>46010</v>
      </c>
      <c r="D93" t="inlineStr">
        <is>
          <t>JÖNKÖPINGS LÄN</t>
        </is>
      </c>
      <c r="E93" t="inlineStr">
        <is>
          <t>TRANÅS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37912-2024</t>
        </is>
      </c>
      <c r="B94" s="1" t="n">
        <v>45544</v>
      </c>
      <c r="C94" s="1" t="n">
        <v>46010</v>
      </c>
      <c r="D94" t="inlineStr">
        <is>
          <t>JÖNKÖPINGS LÄN</t>
        </is>
      </c>
      <c r="E94" t="inlineStr">
        <is>
          <t>TRANÅS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49256-2024</t>
        </is>
      </c>
      <c r="B95" s="1" t="n">
        <v>45595</v>
      </c>
      <c r="C95" s="1" t="n">
        <v>46010</v>
      </c>
      <c r="D95" t="inlineStr">
        <is>
          <t>JÖNKÖPINGS LÄN</t>
        </is>
      </c>
      <c r="E95" t="inlineStr">
        <is>
          <t>TRANÅS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12885-2023</t>
        </is>
      </c>
      <c r="B96" s="1" t="n">
        <v>45001</v>
      </c>
      <c r="C96" s="1" t="n">
        <v>46010</v>
      </c>
      <c r="D96" t="inlineStr">
        <is>
          <t>JÖNKÖPINGS LÄN</t>
        </is>
      </c>
      <c r="E96" t="inlineStr">
        <is>
          <t>TRANÅS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53489-2023</t>
        </is>
      </c>
      <c r="B97" s="1" t="n">
        <v>45230.35675925926</v>
      </c>
      <c r="C97" s="1" t="n">
        <v>46010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8978-2021</t>
        </is>
      </c>
      <c r="B98" s="1" t="n">
        <v>44249.47738425926</v>
      </c>
      <c r="C98" s="1" t="n">
        <v>46010</v>
      </c>
      <c r="D98" t="inlineStr">
        <is>
          <t>JÖNKÖPINGS LÄN</t>
        </is>
      </c>
      <c r="E98" t="inlineStr">
        <is>
          <t>TRANÅS</t>
        </is>
      </c>
      <c r="F98" t="inlineStr">
        <is>
          <t>Allmännings- och besparingsskogar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37146-2021</t>
        </is>
      </c>
      <c r="B99" s="1" t="n">
        <v>44396.47681712963</v>
      </c>
      <c r="C99" s="1" t="n">
        <v>46010</v>
      </c>
      <c r="D99" t="inlineStr">
        <is>
          <t>JÖNKÖPINGS LÄN</t>
        </is>
      </c>
      <c r="E99" t="inlineStr">
        <is>
          <t>TRANÅS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12214-2022</t>
        </is>
      </c>
      <c r="B100" s="1" t="n">
        <v>44637</v>
      </c>
      <c r="C100" s="1" t="n">
        <v>46010</v>
      </c>
      <c r="D100" t="inlineStr">
        <is>
          <t>JÖNKÖPINGS LÄN</t>
        </is>
      </c>
      <c r="E100" t="inlineStr">
        <is>
          <t>TRANÅS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50634-2023</t>
        </is>
      </c>
      <c r="B101" s="1" t="n">
        <v>45217</v>
      </c>
      <c r="C101" s="1" t="n">
        <v>46010</v>
      </c>
      <c r="D101" t="inlineStr">
        <is>
          <t>JÖNKÖPINGS LÄN</t>
        </is>
      </c>
      <c r="E101" t="inlineStr">
        <is>
          <t>TRANÅS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26449-2022</t>
        </is>
      </c>
      <c r="B102" s="1" t="n">
        <v>44738</v>
      </c>
      <c r="C102" s="1" t="n">
        <v>46010</v>
      </c>
      <c r="D102" t="inlineStr">
        <is>
          <t>JÖNKÖPINGS LÄN</t>
        </is>
      </c>
      <c r="E102" t="inlineStr">
        <is>
          <t>TRANÅS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848-2021</t>
        </is>
      </c>
      <c r="B103" s="1" t="n">
        <v>44204.68939814815</v>
      </c>
      <c r="C103" s="1" t="n">
        <v>46010</v>
      </c>
      <c r="D103" t="inlineStr">
        <is>
          <t>JÖNKÖPINGS LÄN</t>
        </is>
      </c>
      <c r="E103" t="inlineStr">
        <is>
          <t>TRANÅS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68943-2020</t>
        </is>
      </c>
      <c r="B104" s="1" t="n">
        <v>44187</v>
      </c>
      <c r="C104" s="1" t="n">
        <v>46010</v>
      </c>
      <c r="D104" t="inlineStr">
        <is>
          <t>JÖNKÖPINGS LÄN</t>
        </is>
      </c>
      <c r="E104" t="inlineStr">
        <is>
          <t>TRANÅS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28188-2021</t>
        </is>
      </c>
      <c r="B105" s="1" t="n">
        <v>44355</v>
      </c>
      <c r="C105" s="1" t="n">
        <v>46010</v>
      </c>
      <c r="D105" t="inlineStr">
        <is>
          <t>JÖNKÖPINGS LÄN</t>
        </is>
      </c>
      <c r="E105" t="inlineStr">
        <is>
          <t>TRANÅS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20414-2025</t>
        </is>
      </c>
      <c r="B106" s="1" t="n">
        <v>45775.46158564815</v>
      </c>
      <c r="C106" s="1" t="n">
        <v>46010</v>
      </c>
      <c r="D106" t="inlineStr">
        <is>
          <t>JÖNKÖPINGS LÄN</t>
        </is>
      </c>
      <c r="E106" t="inlineStr">
        <is>
          <t>TRANÅS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17963-2024</t>
        </is>
      </c>
      <c r="B107" s="1" t="n">
        <v>45419</v>
      </c>
      <c r="C107" s="1" t="n">
        <v>46010</v>
      </c>
      <c r="D107" t="inlineStr">
        <is>
          <t>JÖNKÖPINGS LÄN</t>
        </is>
      </c>
      <c r="E107" t="inlineStr">
        <is>
          <t>TRANÅS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11630-2023</t>
        </is>
      </c>
      <c r="B108" s="1" t="n">
        <v>44992</v>
      </c>
      <c r="C108" s="1" t="n">
        <v>46010</v>
      </c>
      <c r="D108" t="inlineStr">
        <is>
          <t>JÖNKÖPINGS LÄN</t>
        </is>
      </c>
      <c r="E108" t="inlineStr">
        <is>
          <t>TRANÅS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26855-2025</t>
        </is>
      </c>
      <c r="B109" s="1" t="n">
        <v>45810</v>
      </c>
      <c r="C109" s="1" t="n">
        <v>46010</v>
      </c>
      <c r="D109" t="inlineStr">
        <is>
          <t>JÖNKÖPINGS LÄN</t>
        </is>
      </c>
      <c r="E109" t="inlineStr">
        <is>
          <t>TRANÅS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41411-2025</t>
        </is>
      </c>
      <c r="B110" s="1" t="n">
        <v>45901.35317129629</v>
      </c>
      <c r="C110" s="1" t="n">
        <v>46010</v>
      </c>
      <c r="D110" t="inlineStr">
        <is>
          <t>JÖNKÖPINGS LÄN</t>
        </is>
      </c>
      <c r="E110" t="inlineStr">
        <is>
          <t>TRANÅS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41413-2025</t>
        </is>
      </c>
      <c r="B111" s="1" t="n">
        <v>45901.35763888889</v>
      </c>
      <c r="C111" s="1" t="n">
        <v>46010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41501-2025</t>
        </is>
      </c>
      <c r="B112" s="1" t="n">
        <v>45901</v>
      </c>
      <c r="C112" s="1" t="n">
        <v>46010</v>
      </c>
      <c r="D112" t="inlineStr">
        <is>
          <t>JÖNKÖPINGS LÄN</t>
        </is>
      </c>
      <c r="E112" t="inlineStr">
        <is>
          <t>TRANÅS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13624-2023</t>
        </is>
      </c>
      <c r="B113" s="1" t="n">
        <v>45006</v>
      </c>
      <c r="C113" s="1" t="n">
        <v>46010</v>
      </c>
      <c r="D113" t="inlineStr">
        <is>
          <t>JÖNKÖPINGS LÄN</t>
        </is>
      </c>
      <c r="E113" t="inlineStr">
        <is>
          <t>TRANÅS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27786-2024</t>
        </is>
      </c>
      <c r="B114" s="1" t="n">
        <v>45475</v>
      </c>
      <c r="C114" s="1" t="n">
        <v>46010</v>
      </c>
      <c r="D114" t="inlineStr">
        <is>
          <t>JÖNKÖPINGS LÄN</t>
        </is>
      </c>
      <c r="E114" t="inlineStr">
        <is>
          <t>TRANÅS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19695-2025</t>
        </is>
      </c>
      <c r="B115" s="1" t="n">
        <v>45770</v>
      </c>
      <c r="C115" s="1" t="n">
        <v>46010</v>
      </c>
      <c r="D115" t="inlineStr">
        <is>
          <t>JÖNKÖPINGS LÄN</t>
        </is>
      </c>
      <c r="E115" t="inlineStr">
        <is>
          <t>TRANÅS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28997-2023</t>
        </is>
      </c>
      <c r="B116" s="1" t="n">
        <v>45104</v>
      </c>
      <c r="C116" s="1" t="n">
        <v>46010</v>
      </c>
      <c r="D116" t="inlineStr">
        <is>
          <t>JÖNKÖPINGS LÄN</t>
        </is>
      </c>
      <c r="E116" t="inlineStr">
        <is>
          <t>TRANÅS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23981-2025</t>
        </is>
      </c>
      <c r="B117" s="1" t="n">
        <v>45796.39119212963</v>
      </c>
      <c r="C117" s="1" t="n">
        <v>46010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54750-2022</t>
        </is>
      </c>
      <c r="B118" s="1" t="n">
        <v>44881</v>
      </c>
      <c r="C118" s="1" t="n">
        <v>46010</v>
      </c>
      <c r="D118" t="inlineStr">
        <is>
          <t>JÖNKÖPINGS LÄN</t>
        </is>
      </c>
      <c r="E118" t="inlineStr">
        <is>
          <t>TRANÅS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5213-2024</t>
        </is>
      </c>
      <c r="B119" s="1" t="n">
        <v>45330.6340625</v>
      </c>
      <c r="C119" s="1" t="n">
        <v>46010</v>
      </c>
      <c r="D119" t="inlineStr">
        <is>
          <t>JÖNKÖPINGS LÄN</t>
        </is>
      </c>
      <c r="E119" t="inlineStr">
        <is>
          <t>TRANÅS</t>
        </is>
      </c>
      <c r="F119" t="inlineStr">
        <is>
          <t>Allmännings- och besparingsskogar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42885-2025</t>
        </is>
      </c>
      <c r="B120" s="1" t="n">
        <v>45908.65194444444</v>
      </c>
      <c r="C120" s="1" t="n">
        <v>46010</v>
      </c>
      <c r="D120" t="inlineStr">
        <is>
          <t>JÖNKÖPINGS LÄN</t>
        </is>
      </c>
      <c r="E120" t="inlineStr">
        <is>
          <t>TRANÅS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42719-2025</t>
        </is>
      </c>
      <c r="B121" s="1" t="n">
        <v>45908.39413194444</v>
      </c>
      <c r="C121" s="1" t="n">
        <v>46010</v>
      </c>
      <c r="D121" t="inlineStr">
        <is>
          <t>JÖNKÖPINGS LÄN</t>
        </is>
      </c>
      <c r="E121" t="inlineStr">
        <is>
          <t>TRANÅS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43749-2025</t>
        </is>
      </c>
      <c r="B122" s="1" t="n">
        <v>45912.4652199074</v>
      </c>
      <c r="C122" s="1" t="n">
        <v>46010</v>
      </c>
      <c r="D122" t="inlineStr">
        <is>
          <t>JÖNKÖPINGS LÄN</t>
        </is>
      </c>
      <c r="E122" t="inlineStr">
        <is>
          <t>TRANÅS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17617-2023</t>
        </is>
      </c>
      <c r="B123" s="1" t="n">
        <v>45036.63990740741</v>
      </c>
      <c r="C123" s="1" t="n">
        <v>46010</v>
      </c>
      <c r="D123" t="inlineStr">
        <is>
          <t>JÖNKÖPINGS LÄN</t>
        </is>
      </c>
      <c r="E123" t="inlineStr">
        <is>
          <t>TRANÅS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44221-2025</t>
        </is>
      </c>
      <c r="B124" s="1" t="n">
        <v>45915.6369675926</v>
      </c>
      <c r="C124" s="1" t="n">
        <v>46010</v>
      </c>
      <c r="D124" t="inlineStr">
        <is>
          <t>JÖNKÖPINGS LÄN</t>
        </is>
      </c>
      <c r="E124" t="inlineStr">
        <is>
          <t>TRANÅS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1516-2024</t>
        </is>
      </c>
      <c r="B125" s="1" t="n">
        <v>45306</v>
      </c>
      <c r="C125" s="1" t="n">
        <v>46010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33201-2025</t>
        </is>
      </c>
      <c r="B126" s="1" t="n">
        <v>45840.60674768518</v>
      </c>
      <c r="C126" s="1" t="n">
        <v>46010</v>
      </c>
      <c r="D126" t="inlineStr">
        <is>
          <t>JÖNKÖPINGS LÄN</t>
        </is>
      </c>
      <c r="E126" t="inlineStr">
        <is>
          <t>TRANÅS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44698-2025</t>
        </is>
      </c>
      <c r="B127" s="1" t="n">
        <v>45917.6000462963</v>
      </c>
      <c r="C127" s="1" t="n">
        <v>46010</v>
      </c>
      <c r="D127" t="inlineStr">
        <is>
          <t>JÖNKÖPINGS LÄN</t>
        </is>
      </c>
      <c r="E127" t="inlineStr">
        <is>
          <t>TRANÅS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44723-2025</t>
        </is>
      </c>
      <c r="B128" s="1" t="n">
        <v>45917</v>
      </c>
      <c r="C128" s="1" t="n">
        <v>46010</v>
      </c>
      <c r="D128" t="inlineStr">
        <is>
          <t>JÖNKÖPINGS LÄN</t>
        </is>
      </c>
      <c r="E128" t="inlineStr">
        <is>
          <t>TRANÅS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44235-2025</t>
        </is>
      </c>
      <c r="B129" s="1" t="n">
        <v>45915</v>
      </c>
      <c r="C129" s="1" t="n">
        <v>46010</v>
      </c>
      <c r="D129" t="inlineStr">
        <is>
          <t>JÖNKÖPINGS LÄN</t>
        </is>
      </c>
      <c r="E129" t="inlineStr">
        <is>
          <t>TRANÅS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T129">
        <f>HYPERLINK("https://klasma.github.io/Logging_0687/kartor/A 44235-2025 karta.png", "A 44235-2025")</f>
        <v/>
      </c>
      <c r="V129">
        <f>HYPERLINK("https://klasma.github.io/Logging_0687/klagomål/A 44235-2025 FSC-klagomål.docx", "A 44235-2025")</f>
        <v/>
      </c>
      <c r="W129">
        <f>HYPERLINK("https://klasma.github.io/Logging_0687/klagomålsmail/A 44235-2025 FSC-klagomål mail.docx", "A 44235-2025")</f>
        <v/>
      </c>
      <c r="X129">
        <f>HYPERLINK("https://klasma.github.io/Logging_0687/tillsyn/A 44235-2025 tillsynsbegäran.docx", "A 44235-2025")</f>
        <v/>
      </c>
      <c r="Y129">
        <f>HYPERLINK("https://klasma.github.io/Logging_0687/tillsynsmail/A 44235-2025 tillsynsbegäran mail.docx", "A 44235-2025")</f>
        <v/>
      </c>
    </row>
    <row r="130" ht="15" customHeight="1">
      <c r="A130" t="inlineStr">
        <is>
          <t>A 33203-2025</t>
        </is>
      </c>
      <c r="B130" s="1" t="n">
        <v>45840.60864583333</v>
      </c>
      <c r="C130" s="1" t="n">
        <v>46010</v>
      </c>
      <c r="D130" t="inlineStr">
        <is>
          <t>JÖNKÖPINGS LÄN</t>
        </is>
      </c>
      <c r="E130" t="inlineStr">
        <is>
          <t>TRANÅS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40098-2021</t>
        </is>
      </c>
      <c r="B131" s="1" t="n">
        <v>44418.58430555555</v>
      </c>
      <c r="C131" s="1" t="n">
        <v>46010</v>
      </c>
      <c r="D131" t="inlineStr">
        <is>
          <t>JÖNKÖPINGS LÄN</t>
        </is>
      </c>
      <c r="E131" t="inlineStr">
        <is>
          <t>TRANÅS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19323-2025</t>
        </is>
      </c>
      <c r="B132" s="1" t="n">
        <v>45769.58104166666</v>
      </c>
      <c r="C132" s="1" t="n">
        <v>46010</v>
      </c>
      <c r="D132" t="inlineStr">
        <is>
          <t>JÖNKÖPINGS LÄN</t>
        </is>
      </c>
      <c r="E132" t="inlineStr">
        <is>
          <t>TRANÅS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20278-2025</t>
        </is>
      </c>
      <c r="B133" s="1" t="n">
        <v>45774.36863425926</v>
      </c>
      <c r="C133" s="1" t="n">
        <v>46010</v>
      </c>
      <c r="D133" t="inlineStr">
        <is>
          <t>JÖNKÖPINGS LÄN</t>
        </is>
      </c>
      <c r="E133" t="inlineStr">
        <is>
          <t>TRANÅS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45196-2025</t>
        </is>
      </c>
      <c r="B134" s="1" t="n">
        <v>45919</v>
      </c>
      <c r="C134" s="1" t="n">
        <v>46010</v>
      </c>
      <c r="D134" t="inlineStr">
        <is>
          <t>JÖNKÖPINGS LÄN</t>
        </is>
      </c>
      <c r="E134" t="inlineStr">
        <is>
          <t>TRANÅS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9977-2022</t>
        </is>
      </c>
      <c r="B135" s="1" t="n">
        <v>44621</v>
      </c>
      <c r="C135" s="1" t="n">
        <v>46010</v>
      </c>
      <c r="D135" t="inlineStr">
        <is>
          <t>JÖNKÖPINGS LÄN</t>
        </is>
      </c>
      <c r="E135" t="inlineStr">
        <is>
          <t>TRANÅS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12654-2024</t>
        </is>
      </c>
      <c r="B136" s="1" t="n">
        <v>45379</v>
      </c>
      <c r="C136" s="1" t="n">
        <v>46010</v>
      </c>
      <c r="D136" t="inlineStr">
        <is>
          <t>JÖNKÖPINGS LÄN</t>
        </is>
      </c>
      <c r="E136" t="inlineStr">
        <is>
          <t>TRANÅS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28139-2023</t>
        </is>
      </c>
      <c r="B137" s="1" t="n">
        <v>45099.48325231481</v>
      </c>
      <c r="C137" s="1" t="n">
        <v>46010</v>
      </c>
      <c r="D137" t="inlineStr">
        <is>
          <t>JÖNKÖPINGS LÄN</t>
        </is>
      </c>
      <c r="E137" t="inlineStr">
        <is>
          <t>TRANÅS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3121-2025</t>
        </is>
      </c>
      <c r="B138" s="1" t="n">
        <v>45678.72246527778</v>
      </c>
      <c r="C138" s="1" t="n">
        <v>46010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30144-2024</t>
        </is>
      </c>
      <c r="B139" s="1" t="n">
        <v>45489.59614583333</v>
      </c>
      <c r="C139" s="1" t="n">
        <v>46010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30145-2024</t>
        </is>
      </c>
      <c r="B140" s="1" t="n">
        <v>45489</v>
      </c>
      <c r="C140" s="1" t="n">
        <v>46010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70037-2021</t>
        </is>
      </c>
      <c r="B141" s="1" t="n">
        <v>44533</v>
      </c>
      <c r="C141" s="1" t="n">
        <v>46010</v>
      </c>
      <c r="D141" t="inlineStr">
        <is>
          <t>JÖNKÖPINGS LÄN</t>
        </is>
      </c>
      <c r="E141" t="inlineStr">
        <is>
          <t>TRANÅS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48751-2021</t>
        </is>
      </c>
      <c r="B142" s="1" t="n">
        <v>44452.62667824074</v>
      </c>
      <c r="C142" s="1" t="n">
        <v>46010</v>
      </c>
      <c r="D142" t="inlineStr">
        <is>
          <t>JÖNKÖPINGS LÄN</t>
        </is>
      </c>
      <c r="E142" t="inlineStr">
        <is>
          <t>TRANÅS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59171-2024</t>
        </is>
      </c>
      <c r="B143" s="1" t="n">
        <v>45637.49440972223</v>
      </c>
      <c r="C143" s="1" t="n">
        <v>46010</v>
      </c>
      <c r="D143" t="inlineStr">
        <is>
          <t>JÖNKÖPINGS LÄN</t>
        </is>
      </c>
      <c r="E143" t="inlineStr">
        <is>
          <t>TRANÅS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21876-2023</t>
        </is>
      </c>
      <c r="B144" s="1" t="n">
        <v>45068</v>
      </c>
      <c r="C144" s="1" t="n">
        <v>46010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33006-2025</t>
        </is>
      </c>
      <c r="B145" s="1" t="n">
        <v>45840.35839120371</v>
      </c>
      <c r="C145" s="1" t="n">
        <v>46010</v>
      </c>
      <c r="D145" t="inlineStr">
        <is>
          <t>JÖNKÖPINGS LÄN</t>
        </is>
      </c>
      <c r="E145" t="inlineStr">
        <is>
          <t>TRANÅS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46075-2025</t>
        </is>
      </c>
      <c r="B146" s="1" t="n">
        <v>45924.50216435185</v>
      </c>
      <c r="C146" s="1" t="n">
        <v>46010</v>
      </c>
      <c r="D146" t="inlineStr">
        <is>
          <t>JÖNKÖPINGS LÄN</t>
        </is>
      </c>
      <c r="E146" t="inlineStr">
        <is>
          <t>TRANÅS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46337-2025</t>
        </is>
      </c>
      <c r="B147" s="1" t="n">
        <v>45925.46216435185</v>
      </c>
      <c r="C147" s="1" t="n">
        <v>46010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46333-2025</t>
        </is>
      </c>
      <c r="B148" s="1" t="n">
        <v>45925.45918981481</v>
      </c>
      <c r="C148" s="1" t="n">
        <v>46010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46324-2025</t>
        </is>
      </c>
      <c r="B149" s="1" t="n">
        <v>45925.45210648148</v>
      </c>
      <c r="C149" s="1" t="n">
        <v>46010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46330-2025</t>
        </is>
      </c>
      <c r="B150" s="1" t="n">
        <v>45925.45548611111</v>
      </c>
      <c r="C150" s="1" t="n">
        <v>46010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2365-2025</t>
        </is>
      </c>
      <c r="B151" s="1" t="n">
        <v>45673.71967592592</v>
      </c>
      <c r="C151" s="1" t="n">
        <v>46010</v>
      </c>
      <c r="D151" t="inlineStr">
        <is>
          <t>JÖNKÖPINGS LÄN</t>
        </is>
      </c>
      <c r="E151" t="inlineStr">
        <is>
          <t>TRANÅS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20663-2022</t>
        </is>
      </c>
      <c r="B152" s="1" t="n">
        <v>44700.65034722222</v>
      </c>
      <c r="C152" s="1" t="n">
        <v>46010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11606-2023</t>
        </is>
      </c>
      <c r="B153" s="1" t="n">
        <v>44992</v>
      </c>
      <c r="C153" s="1" t="n">
        <v>46010</v>
      </c>
      <c r="D153" t="inlineStr">
        <is>
          <t>JÖNKÖPINGS LÄN</t>
        </is>
      </c>
      <c r="E153" t="inlineStr">
        <is>
          <t>TRANÅS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37901-2025</t>
        </is>
      </c>
      <c r="B154" s="1" t="n">
        <v>45880</v>
      </c>
      <c r="C154" s="1" t="n">
        <v>46010</v>
      </c>
      <c r="D154" t="inlineStr">
        <is>
          <t>JÖNKÖPINGS LÄN</t>
        </is>
      </c>
      <c r="E154" t="inlineStr">
        <is>
          <t>TRANÅS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8999-2025</t>
        </is>
      </c>
      <c r="B155" s="1" t="n">
        <v>45712</v>
      </c>
      <c r="C155" s="1" t="n">
        <v>46010</v>
      </c>
      <c r="D155" t="inlineStr">
        <is>
          <t>JÖNKÖPINGS LÄN</t>
        </is>
      </c>
      <c r="E155" t="inlineStr">
        <is>
          <t>TRANÅS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24967-2023</t>
        </is>
      </c>
      <c r="B156" s="1" t="n">
        <v>45085</v>
      </c>
      <c r="C156" s="1" t="n">
        <v>46010</v>
      </c>
      <c r="D156" t="inlineStr">
        <is>
          <t>JÖNKÖPINGS LÄN</t>
        </is>
      </c>
      <c r="E156" t="inlineStr">
        <is>
          <t>TRANÅS</t>
        </is>
      </c>
      <c r="F156" t="inlineStr">
        <is>
          <t>Kommuner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9058-2021</t>
        </is>
      </c>
      <c r="B157" s="1" t="n">
        <v>44249</v>
      </c>
      <c r="C157" s="1" t="n">
        <v>46010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21012-2022</t>
        </is>
      </c>
      <c r="B158" s="1" t="n">
        <v>44701</v>
      </c>
      <c r="C158" s="1" t="n">
        <v>46010</v>
      </c>
      <c r="D158" t="inlineStr">
        <is>
          <t>JÖNKÖPINGS LÄN</t>
        </is>
      </c>
      <c r="E158" t="inlineStr">
        <is>
          <t>TRANÅS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37221-2024</t>
        </is>
      </c>
      <c r="B159" s="1" t="n">
        <v>45539.85185185185</v>
      </c>
      <c r="C159" s="1" t="n">
        <v>46010</v>
      </c>
      <c r="D159" t="inlineStr">
        <is>
          <t>JÖNKÖPINGS LÄN</t>
        </is>
      </c>
      <c r="E159" t="inlineStr">
        <is>
          <t>TRANÅS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37160-2023</t>
        </is>
      </c>
      <c r="B160" s="1" t="n">
        <v>45154</v>
      </c>
      <c r="C160" s="1" t="n">
        <v>46010</v>
      </c>
      <c r="D160" t="inlineStr">
        <is>
          <t>JÖNKÖPINGS LÄN</t>
        </is>
      </c>
      <c r="E160" t="inlineStr">
        <is>
          <t>TRANÅS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37949-2023</t>
        </is>
      </c>
      <c r="B161" s="1" t="n">
        <v>45159</v>
      </c>
      <c r="C161" s="1" t="n">
        <v>46010</v>
      </c>
      <c r="D161" t="inlineStr">
        <is>
          <t>JÖNKÖPINGS LÄN</t>
        </is>
      </c>
      <c r="E161" t="inlineStr">
        <is>
          <t>TRANÅS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47756-2025</t>
        </is>
      </c>
      <c r="B162" s="1" t="n">
        <v>45931.66736111111</v>
      </c>
      <c r="C162" s="1" t="n">
        <v>46010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9800-2025</t>
        </is>
      </c>
      <c r="B163" s="1" t="n">
        <v>45715</v>
      </c>
      <c r="C163" s="1" t="n">
        <v>46010</v>
      </c>
      <c r="D163" t="inlineStr">
        <is>
          <t>JÖNKÖPINGS LÄN</t>
        </is>
      </c>
      <c r="E163" t="inlineStr">
        <is>
          <t>TRANÅS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17571-2025</t>
        </is>
      </c>
      <c r="B164" s="1" t="n">
        <v>45757.64601851852</v>
      </c>
      <c r="C164" s="1" t="n">
        <v>46010</v>
      </c>
      <c r="D164" t="inlineStr">
        <is>
          <t>JÖNKÖPINGS LÄN</t>
        </is>
      </c>
      <c r="E164" t="inlineStr">
        <is>
          <t>TRANÅS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22671-2025</t>
        </is>
      </c>
      <c r="B165" s="1" t="n">
        <v>45789.49032407408</v>
      </c>
      <c r="C165" s="1" t="n">
        <v>46010</v>
      </c>
      <c r="D165" t="inlineStr">
        <is>
          <t>JÖNKÖPINGS LÄN</t>
        </is>
      </c>
      <c r="E165" t="inlineStr">
        <is>
          <t>TRANÅS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47477-2025</t>
        </is>
      </c>
      <c r="B166" s="1" t="n">
        <v>45930.67966435185</v>
      </c>
      <c r="C166" s="1" t="n">
        <v>46010</v>
      </c>
      <c r="D166" t="inlineStr">
        <is>
          <t>JÖNKÖPINGS LÄN</t>
        </is>
      </c>
      <c r="E166" t="inlineStr">
        <is>
          <t>TRANÅS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7583-2023</t>
        </is>
      </c>
      <c r="B167" s="1" t="n">
        <v>44972.40060185185</v>
      </c>
      <c r="C167" s="1" t="n">
        <v>46010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47760-2025</t>
        </is>
      </c>
      <c r="B168" s="1" t="n">
        <v>45931.67399305556</v>
      </c>
      <c r="C168" s="1" t="n">
        <v>46010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47753-2025</t>
        </is>
      </c>
      <c r="B169" s="1" t="n">
        <v>45931.66369212963</v>
      </c>
      <c r="C169" s="1" t="n">
        <v>46010</v>
      </c>
      <c r="D169" t="inlineStr">
        <is>
          <t>JÖNKÖPINGS LÄN</t>
        </is>
      </c>
      <c r="E169" t="inlineStr">
        <is>
          <t>TRANÅS</t>
        </is>
      </c>
      <c r="F169" t="inlineStr">
        <is>
          <t>Allmännings- och besparingsskogar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22404-2023</t>
        </is>
      </c>
      <c r="B170" s="1" t="n">
        <v>45070</v>
      </c>
      <c r="C170" s="1" t="n">
        <v>46010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23984-2023</t>
        </is>
      </c>
      <c r="B171" s="1" t="n">
        <v>45078</v>
      </c>
      <c r="C171" s="1" t="n">
        <v>46010</v>
      </c>
      <c r="D171" t="inlineStr">
        <is>
          <t>JÖNKÖPINGS LÄN</t>
        </is>
      </c>
      <c r="E171" t="inlineStr">
        <is>
          <t>TRANÅS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6201-2025</t>
        </is>
      </c>
      <c r="B172" s="1" t="n">
        <v>45698.47854166666</v>
      </c>
      <c r="C172" s="1" t="n">
        <v>46010</v>
      </c>
      <c r="D172" t="inlineStr">
        <is>
          <t>JÖNKÖPINGS LÄN</t>
        </is>
      </c>
      <c r="E172" t="inlineStr">
        <is>
          <t>TRANÅS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48112-2025</t>
        </is>
      </c>
      <c r="B173" s="1" t="n">
        <v>45932</v>
      </c>
      <c r="C173" s="1" t="n">
        <v>46010</v>
      </c>
      <c r="D173" t="inlineStr">
        <is>
          <t>JÖNKÖPINGS LÄN</t>
        </is>
      </c>
      <c r="E173" t="inlineStr">
        <is>
          <t>TRANÅS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17950-2021</t>
        </is>
      </c>
      <c r="B174" s="1" t="n">
        <v>44301</v>
      </c>
      <c r="C174" s="1" t="n">
        <v>46010</v>
      </c>
      <c r="D174" t="inlineStr">
        <is>
          <t>JÖNKÖPINGS LÄN</t>
        </is>
      </c>
      <c r="E174" t="inlineStr">
        <is>
          <t>TRANÅS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56148-2025</t>
        </is>
      </c>
      <c r="B175" s="1" t="n">
        <v>45974.34738425926</v>
      </c>
      <c r="C175" s="1" t="n">
        <v>46010</v>
      </c>
      <c r="D175" t="inlineStr">
        <is>
          <t>JÖNKÖPINGS LÄN</t>
        </is>
      </c>
      <c r="E175" t="inlineStr">
        <is>
          <t>TRANÅS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49003-2025</t>
        </is>
      </c>
      <c r="B176" s="1" t="n">
        <v>45932</v>
      </c>
      <c r="C176" s="1" t="n">
        <v>46010</v>
      </c>
      <c r="D176" t="inlineStr">
        <is>
          <t>JÖNKÖPINGS LÄN</t>
        </is>
      </c>
      <c r="E176" t="inlineStr">
        <is>
          <t>TRANÅS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56810-2025</t>
        </is>
      </c>
      <c r="B177" s="1" t="n">
        <v>45978.45473379629</v>
      </c>
      <c r="C177" s="1" t="n">
        <v>46010</v>
      </c>
      <c r="D177" t="inlineStr">
        <is>
          <t>JÖNKÖPINGS LÄN</t>
        </is>
      </c>
      <c r="E177" t="inlineStr">
        <is>
          <t>TRANÅS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5066-2025</t>
        </is>
      </c>
      <c r="B178" s="1" t="n">
        <v>45691</v>
      </c>
      <c r="C178" s="1" t="n">
        <v>46010</v>
      </c>
      <c r="D178" t="inlineStr">
        <is>
          <t>JÖNKÖPINGS LÄN</t>
        </is>
      </c>
      <c r="E178" t="inlineStr">
        <is>
          <t>TRANÅS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8351-2023</t>
        </is>
      </c>
      <c r="B179" s="1" t="n">
        <v>44977</v>
      </c>
      <c r="C179" s="1" t="n">
        <v>46010</v>
      </c>
      <c r="D179" t="inlineStr">
        <is>
          <t>JÖNKÖPINGS LÄN</t>
        </is>
      </c>
      <c r="E179" t="inlineStr">
        <is>
          <t>TRANÅS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14825-2024</t>
        </is>
      </c>
      <c r="B180" s="1" t="n">
        <v>45397</v>
      </c>
      <c r="C180" s="1" t="n">
        <v>46010</v>
      </c>
      <c r="D180" t="inlineStr">
        <is>
          <t>JÖNKÖPINGS LÄN</t>
        </is>
      </c>
      <c r="E180" t="inlineStr">
        <is>
          <t>TRANÅS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17069-2025</t>
        </is>
      </c>
      <c r="B181" s="1" t="n">
        <v>45754</v>
      </c>
      <c r="C181" s="1" t="n">
        <v>46010</v>
      </c>
      <c r="D181" t="inlineStr">
        <is>
          <t>JÖNKÖPINGS LÄN</t>
        </is>
      </c>
      <c r="E181" t="inlineStr">
        <is>
          <t>TRANÅS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6919-2023</t>
        </is>
      </c>
      <c r="B182" s="1" t="n">
        <v>44967</v>
      </c>
      <c r="C182" s="1" t="n">
        <v>46010</v>
      </c>
      <c r="D182" t="inlineStr">
        <is>
          <t>JÖNKÖPINGS LÄN</t>
        </is>
      </c>
      <c r="E182" t="inlineStr">
        <is>
          <t>TRANÅS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55973-2025</t>
        </is>
      </c>
      <c r="B183" s="1" t="n">
        <v>45973</v>
      </c>
      <c r="C183" s="1" t="n">
        <v>46010</v>
      </c>
      <c r="D183" t="inlineStr">
        <is>
          <t>JÖNKÖPINGS LÄN</t>
        </is>
      </c>
      <c r="E183" t="inlineStr">
        <is>
          <t>TRANÅS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7333-2024</t>
        </is>
      </c>
      <c r="B184" s="1" t="n">
        <v>45345</v>
      </c>
      <c r="C184" s="1" t="n">
        <v>46010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2379-2023</t>
        </is>
      </c>
      <c r="B185" s="1" t="n">
        <v>44942</v>
      </c>
      <c r="C185" s="1" t="n">
        <v>46010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49118-2025</t>
        </is>
      </c>
      <c r="B186" s="1" t="n">
        <v>45937</v>
      </c>
      <c r="C186" s="1" t="n">
        <v>46010</v>
      </c>
      <c r="D186" t="inlineStr">
        <is>
          <t>JÖNKÖPINGS LÄN</t>
        </is>
      </c>
      <c r="E186" t="inlineStr">
        <is>
          <t>TRANÅS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33485-2025</t>
        </is>
      </c>
      <c r="B187" s="1" t="n">
        <v>45841.50381944444</v>
      </c>
      <c r="C187" s="1" t="n">
        <v>46010</v>
      </c>
      <c r="D187" t="inlineStr">
        <is>
          <t>JÖNKÖPINGS LÄN</t>
        </is>
      </c>
      <c r="E187" t="inlineStr">
        <is>
          <t>TRANÅS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33497-2025</t>
        </is>
      </c>
      <c r="B188" s="1" t="n">
        <v>45841.50966435186</v>
      </c>
      <c r="C188" s="1" t="n">
        <v>46010</v>
      </c>
      <c r="D188" t="inlineStr">
        <is>
          <t>JÖNKÖPINGS LÄN</t>
        </is>
      </c>
      <c r="E188" t="inlineStr">
        <is>
          <t>TRANÅS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57648-2025</t>
        </is>
      </c>
      <c r="B189" s="1" t="n">
        <v>45981</v>
      </c>
      <c r="C189" s="1" t="n">
        <v>46010</v>
      </c>
      <c r="D189" t="inlineStr">
        <is>
          <t>JÖNKÖPINGS LÄN</t>
        </is>
      </c>
      <c r="E189" t="inlineStr">
        <is>
          <t>TRANÅS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49224-2025</t>
        </is>
      </c>
      <c r="B190" s="1" t="n">
        <v>45938.46695601852</v>
      </c>
      <c r="C190" s="1" t="n">
        <v>46010</v>
      </c>
      <c r="D190" t="inlineStr">
        <is>
          <t>JÖNKÖPINGS LÄN</t>
        </is>
      </c>
      <c r="E190" t="inlineStr">
        <is>
          <t>TRANÅS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32871-2021</t>
        </is>
      </c>
      <c r="B191" s="1" t="n">
        <v>44375</v>
      </c>
      <c r="C191" s="1" t="n">
        <v>46010</v>
      </c>
      <c r="D191" t="inlineStr">
        <is>
          <t>JÖNKÖPINGS LÄN</t>
        </is>
      </c>
      <c r="E191" t="inlineStr">
        <is>
          <t>TRANÅS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49231-2025</t>
        </is>
      </c>
      <c r="B192" s="1" t="n">
        <v>45938.47315972222</v>
      </c>
      <c r="C192" s="1" t="n">
        <v>46010</v>
      </c>
      <c r="D192" t="inlineStr">
        <is>
          <t>JÖNKÖPINGS LÄN</t>
        </is>
      </c>
      <c r="E192" t="inlineStr">
        <is>
          <t>TRANÅS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40442-2022</t>
        </is>
      </c>
      <c r="B193" s="1" t="n">
        <v>44823</v>
      </c>
      <c r="C193" s="1" t="n">
        <v>46010</v>
      </c>
      <c r="D193" t="inlineStr">
        <is>
          <t>JÖNKÖPINGS LÄN</t>
        </is>
      </c>
      <c r="E193" t="inlineStr">
        <is>
          <t>TRANÅS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49610-2025</t>
        </is>
      </c>
      <c r="B194" s="1" t="n">
        <v>45939.57327546296</v>
      </c>
      <c r="C194" s="1" t="n">
        <v>46010</v>
      </c>
      <c r="D194" t="inlineStr">
        <is>
          <t>JÖNKÖPINGS LÄN</t>
        </is>
      </c>
      <c r="E194" t="inlineStr">
        <is>
          <t>TRANÅS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45787-2023</t>
        </is>
      </c>
      <c r="B195" s="1" t="n">
        <v>45195</v>
      </c>
      <c r="C195" s="1" t="n">
        <v>46010</v>
      </c>
      <c r="D195" t="inlineStr">
        <is>
          <t>JÖNKÖPINGS LÄN</t>
        </is>
      </c>
      <c r="E195" t="inlineStr">
        <is>
          <t>TRANÅS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57983-2024</t>
        </is>
      </c>
      <c r="B196" s="1" t="n">
        <v>45631.61699074074</v>
      </c>
      <c r="C196" s="1" t="n">
        <v>46010</v>
      </c>
      <c r="D196" t="inlineStr">
        <is>
          <t>JÖNKÖPINGS LÄN</t>
        </is>
      </c>
      <c r="E196" t="inlineStr">
        <is>
          <t>TRANÅS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33494-2025</t>
        </is>
      </c>
      <c r="B197" s="1" t="n">
        <v>45841.50859953704</v>
      </c>
      <c r="C197" s="1" t="n">
        <v>46010</v>
      </c>
      <c r="D197" t="inlineStr">
        <is>
          <t>JÖNKÖPINGS LÄN</t>
        </is>
      </c>
      <c r="E197" t="inlineStr">
        <is>
          <t>TRANÅS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17964-2024</t>
        </is>
      </c>
      <c r="B198" s="1" t="n">
        <v>45419</v>
      </c>
      <c r="C198" s="1" t="n">
        <v>46010</v>
      </c>
      <c r="D198" t="inlineStr">
        <is>
          <t>JÖNKÖPINGS LÄN</t>
        </is>
      </c>
      <c r="E198" t="inlineStr">
        <is>
          <t>TRANÅS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1714-2024</t>
        </is>
      </c>
      <c r="B199" s="1" t="n">
        <v>45307</v>
      </c>
      <c r="C199" s="1" t="n">
        <v>46010</v>
      </c>
      <c r="D199" t="inlineStr">
        <is>
          <t>JÖNKÖPINGS LÄN</t>
        </is>
      </c>
      <c r="E199" t="inlineStr">
        <is>
          <t>TRANÅS</t>
        </is>
      </c>
      <c r="F199" t="inlineStr">
        <is>
          <t>Kommuner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36215-2022</t>
        </is>
      </c>
      <c r="B200" s="1" t="n">
        <v>44803.49041666667</v>
      </c>
      <c r="C200" s="1" t="n">
        <v>46010</v>
      </c>
      <c r="D200" t="inlineStr">
        <is>
          <t>JÖNKÖPINGS LÄN</t>
        </is>
      </c>
      <c r="E200" t="inlineStr">
        <is>
          <t>TRANÅS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49844-2025</t>
        </is>
      </c>
      <c r="B201" s="1" t="n">
        <v>45940.47883101852</v>
      </c>
      <c r="C201" s="1" t="n">
        <v>46010</v>
      </c>
      <c r="D201" t="inlineStr">
        <is>
          <t>JÖNKÖPINGS LÄN</t>
        </is>
      </c>
      <c r="E201" t="inlineStr">
        <is>
          <t>TRANÅS</t>
        </is>
      </c>
      <c r="F201" t="inlineStr">
        <is>
          <t>Kyrkan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50596-2025</t>
        </is>
      </c>
      <c r="B202" s="1" t="n">
        <v>45945.60892361111</v>
      </c>
      <c r="C202" s="1" t="n">
        <v>46010</v>
      </c>
      <c r="D202" t="inlineStr">
        <is>
          <t>JÖNKÖPINGS LÄN</t>
        </is>
      </c>
      <c r="E202" t="inlineStr">
        <is>
          <t>TRANÅS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8348-2023</t>
        </is>
      </c>
      <c r="B203" s="1" t="n">
        <v>44977.31280092592</v>
      </c>
      <c r="C203" s="1" t="n">
        <v>46010</v>
      </c>
      <c r="D203" t="inlineStr">
        <is>
          <t>JÖNKÖPINGS LÄN</t>
        </is>
      </c>
      <c r="E203" t="inlineStr">
        <is>
          <t>TRANÅS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61017-2024</t>
        </is>
      </c>
      <c r="B204" s="1" t="n">
        <v>45644</v>
      </c>
      <c r="C204" s="1" t="n">
        <v>46010</v>
      </c>
      <c r="D204" t="inlineStr">
        <is>
          <t>JÖNKÖPINGS LÄN</t>
        </is>
      </c>
      <c r="E204" t="inlineStr">
        <is>
          <t>TRANÅS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4233-2025</t>
        </is>
      </c>
      <c r="B205" s="1" t="n">
        <v>45685</v>
      </c>
      <c r="C205" s="1" t="n">
        <v>46010</v>
      </c>
      <c r="D205" t="inlineStr">
        <is>
          <t>JÖNKÖPINGS LÄN</t>
        </is>
      </c>
      <c r="E205" t="inlineStr">
        <is>
          <t>TRANÅS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16153-2023</t>
        </is>
      </c>
      <c r="B206" s="1" t="n">
        <v>45027</v>
      </c>
      <c r="C206" s="1" t="n">
        <v>46010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50601-2025</t>
        </is>
      </c>
      <c r="B207" s="1" t="n">
        <v>45945</v>
      </c>
      <c r="C207" s="1" t="n">
        <v>46010</v>
      </c>
      <c r="D207" t="inlineStr">
        <is>
          <t>JÖNKÖPINGS LÄN</t>
        </is>
      </c>
      <c r="E207" t="inlineStr">
        <is>
          <t>TRANÅS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50621-2025</t>
        </is>
      </c>
      <c r="B208" s="1" t="n">
        <v>45945.63202546296</v>
      </c>
      <c r="C208" s="1" t="n">
        <v>46010</v>
      </c>
      <c r="D208" t="inlineStr">
        <is>
          <t>JÖNKÖPINGS LÄN</t>
        </is>
      </c>
      <c r="E208" t="inlineStr">
        <is>
          <t>TRANÅS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50686-2025</t>
        </is>
      </c>
      <c r="B209" s="1" t="n">
        <v>45945.82383101852</v>
      </c>
      <c r="C209" s="1" t="n">
        <v>46010</v>
      </c>
      <c r="D209" t="inlineStr">
        <is>
          <t>JÖNKÖPINGS LÄN</t>
        </is>
      </c>
      <c r="E209" t="inlineStr">
        <is>
          <t>TRANÅS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59272-2025</t>
        </is>
      </c>
      <c r="B210" s="1" t="n">
        <v>45988.68699074074</v>
      </c>
      <c r="C210" s="1" t="n">
        <v>46010</v>
      </c>
      <c r="D210" t="inlineStr">
        <is>
          <t>JÖNKÖPINGS LÄN</t>
        </is>
      </c>
      <c r="E210" t="inlineStr">
        <is>
          <t>TRANÅS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50749-2025</t>
        </is>
      </c>
      <c r="B211" s="1" t="n">
        <v>45946.389375</v>
      </c>
      <c r="C211" s="1" t="n">
        <v>46010</v>
      </c>
      <c r="D211" t="inlineStr">
        <is>
          <t>JÖNKÖPINGS LÄN</t>
        </is>
      </c>
      <c r="E211" t="inlineStr">
        <is>
          <t>TRANÅS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14286-2024</t>
        </is>
      </c>
      <c r="B212" s="1" t="n">
        <v>45393</v>
      </c>
      <c r="C212" s="1" t="n">
        <v>46010</v>
      </c>
      <c r="D212" t="inlineStr">
        <is>
          <t>JÖNKÖPINGS LÄN</t>
        </is>
      </c>
      <c r="E212" t="inlineStr">
        <is>
          <t>TRANÅS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29130-2023</t>
        </is>
      </c>
      <c r="B213" s="1" t="n">
        <v>45105</v>
      </c>
      <c r="C213" s="1" t="n">
        <v>46010</v>
      </c>
      <c r="D213" t="inlineStr">
        <is>
          <t>JÖNKÖPINGS LÄN</t>
        </is>
      </c>
      <c r="E213" t="inlineStr">
        <is>
          <t>TRANÅS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4692-2023</t>
        </is>
      </c>
      <c r="B214" s="1" t="n">
        <v>44953</v>
      </c>
      <c r="C214" s="1" t="n">
        <v>46010</v>
      </c>
      <c r="D214" t="inlineStr">
        <is>
          <t>JÖNKÖPINGS LÄN</t>
        </is>
      </c>
      <c r="E214" t="inlineStr">
        <is>
          <t>TRANÅS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57957-2025</t>
        </is>
      </c>
      <c r="B215" s="1" t="n">
        <v>45982</v>
      </c>
      <c r="C215" s="1" t="n">
        <v>46010</v>
      </c>
      <c r="D215" t="inlineStr">
        <is>
          <t>JÖNKÖPINGS LÄN</t>
        </is>
      </c>
      <c r="E215" t="inlineStr">
        <is>
          <t>TRANÅS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68437-2020</t>
        </is>
      </c>
      <c r="B216" s="1" t="n">
        <v>44186.47072916666</v>
      </c>
      <c r="C216" s="1" t="n">
        <v>46010</v>
      </c>
      <c r="D216" t="inlineStr">
        <is>
          <t>JÖNKÖPINGS LÄN</t>
        </is>
      </c>
      <c r="E216" t="inlineStr">
        <is>
          <t>TRANÅS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60184-2024</t>
        </is>
      </c>
      <c r="B217" s="1" t="n">
        <v>45639</v>
      </c>
      <c r="C217" s="1" t="n">
        <v>46010</v>
      </c>
      <c r="D217" t="inlineStr">
        <is>
          <t>JÖNKÖPINGS LÄN</t>
        </is>
      </c>
      <c r="E217" t="inlineStr">
        <is>
          <t>TRANÅS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19418-2025</t>
        </is>
      </c>
      <c r="B218" s="1" t="n">
        <v>45769.72369212963</v>
      </c>
      <c r="C218" s="1" t="n">
        <v>46010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60147-2025</t>
        </is>
      </c>
      <c r="B219" s="1" t="n">
        <v>45994.38554398148</v>
      </c>
      <c r="C219" s="1" t="n">
        <v>46010</v>
      </c>
      <c r="D219" t="inlineStr">
        <is>
          <t>JÖNKÖPINGS LÄN</t>
        </is>
      </c>
      <c r="E219" t="inlineStr">
        <is>
          <t>TRANÅS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52714-2024</t>
        </is>
      </c>
      <c r="B220" s="1" t="n">
        <v>45610.43283564815</v>
      </c>
      <c r="C220" s="1" t="n">
        <v>46010</v>
      </c>
      <c r="D220" t="inlineStr">
        <is>
          <t>JÖNKÖPINGS LÄN</t>
        </is>
      </c>
      <c r="E220" t="inlineStr">
        <is>
          <t>TRANÅS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52174-2025</t>
        </is>
      </c>
      <c r="B221" s="1" t="n">
        <v>45953.37413194445</v>
      </c>
      <c r="C221" s="1" t="n">
        <v>46010</v>
      </c>
      <c r="D221" t="inlineStr">
        <is>
          <t>JÖNKÖPINGS LÄN</t>
        </is>
      </c>
      <c r="E221" t="inlineStr">
        <is>
          <t>TRANÅS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52219-2025</t>
        </is>
      </c>
      <c r="B222" s="1" t="n">
        <v>45953.43871527778</v>
      </c>
      <c r="C222" s="1" t="n">
        <v>46010</v>
      </c>
      <c r="D222" t="inlineStr">
        <is>
          <t>JÖNKÖPINGS LÄN</t>
        </is>
      </c>
      <c r="E222" t="inlineStr">
        <is>
          <t>TRANÅS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56135-2025</t>
        </is>
      </c>
      <c r="B223" s="1" t="n">
        <v>45974</v>
      </c>
      <c r="C223" s="1" t="n">
        <v>46010</v>
      </c>
      <c r="D223" t="inlineStr">
        <is>
          <t>JÖNKÖPINGS LÄN</t>
        </is>
      </c>
      <c r="E223" t="inlineStr">
        <is>
          <t>TRANÅS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52188-2025</t>
        </is>
      </c>
      <c r="B224" s="1" t="n">
        <v>45953.38699074074</v>
      </c>
      <c r="C224" s="1" t="n">
        <v>46010</v>
      </c>
      <c r="D224" t="inlineStr">
        <is>
          <t>JÖNKÖPINGS LÄN</t>
        </is>
      </c>
      <c r="E224" t="inlineStr">
        <is>
          <t>TRANÅS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18173-2023</t>
        </is>
      </c>
      <c r="B225" s="1" t="n">
        <v>45040</v>
      </c>
      <c r="C225" s="1" t="n">
        <v>46010</v>
      </c>
      <c r="D225" t="inlineStr">
        <is>
          <t>JÖNKÖPINGS LÄN</t>
        </is>
      </c>
      <c r="E225" t="inlineStr">
        <is>
          <t>TRANÅS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52515-2025</t>
        </is>
      </c>
      <c r="B226" s="1" t="n">
        <v>45954.51231481481</v>
      </c>
      <c r="C226" s="1" t="n">
        <v>46010</v>
      </c>
      <c r="D226" t="inlineStr">
        <is>
          <t>JÖNKÖPINGS LÄN</t>
        </is>
      </c>
      <c r="E226" t="inlineStr">
        <is>
          <t>TRANÅS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5995-2024</t>
        </is>
      </c>
      <c r="B227" s="1" t="n">
        <v>45336.58576388889</v>
      </c>
      <c r="C227" s="1" t="n">
        <v>46010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52497-2025</t>
        </is>
      </c>
      <c r="B228" s="1" t="n">
        <v>45954.4930787037</v>
      </c>
      <c r="C228" s="1" t="n">
        <v>46010</v>
      </c>
      <c r="D228" t="inlineStr">
        <is>
          <t>JÖNKÖPINGS LÄN</t>
        </is>
      </c>
      <c r="E228" t="inlineStr">
        <is>
          <t>TRANÅS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73249-2021</t>
        </is>
      </c>
      <c r="B229" s="1" t="n">
        <v>44550.71657407407</v>
      </c>
      <c r="C229" s="1" t="n">
        <v>46010</v>
      </c>
      <c r="D229" t="inlineStr">
        <is>
          <t>JÖNKÖPINGS LÄN</t>
        </is>
      </c>
      <c r="E229" t="inlineStr">
        <is>
          <t>TRANÅS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9229-2025</t>
        </is>
      </c>
      <c r="B230" s="1" t="n">
        <v>45713</v>
      </c>
      <c r="C230" s="1" t="n">
        <v>46010</v>
      </c>
      <c r="D230" t="inlineStr">
        <is>
          <t>JÖNKÖPINGS LÄN</t>
        </is>
      </c>
      <c r="E230" t="inlineStr">
        <is>
          <t>TRANÅS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3711-2024</t>
        </is>
      </c>
      <c r="B231" s="1" t="n">
        <v>45321</v>
      </c>
      <c r="C231" s="1" t="n">
        <v>46010</v>
      </c>
      <c r="D231" t="inlineStr">
        <is>
          <t>JÖNKÖPINGS LÄN</t>
        </is>
      </c>
      <c r="E231" t="inlineStr">
        <is>
          <t>TRANÅS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53447-2025</t>
        </is>
      </c>
      <c r="B232" s="1" t="n">
        <v>45959.65025462963</v>
      </c>
      <c r="C232" s="1" t="n">
        <v>46010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14920-2024</t>
        </is>
      </c>
      <c r="B233" s="1" t="n">
        <v>45398.6153587963</v>
      </c>
      <c r="C233" s="1" t="n">
        <v>46010</v>
      </c>
      <c r="D233" t="inlineStr">
        <is>
          <t>JÖNKÖPINGS LÄN</t>
        </is>
      </c>
      <c r="E233" t="inlineStr">
        <is>
          <t>TRANÅS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4702-2023</t>
        </is>
      </c>
      <c r="B234" s="1" t="n">
        <v>44953</v>
      </c>
      <c r="C234" s="1" t="n">
        <v>46010</v>
      </c>
      <c r="D234" t="inlineStr">
        <is>
          <t>JÖNKÖPINGS LÄN</t>
        </is>
      </c>
      <c r="E234" t="inlineStr">
        <is>
          <t>TRANÅS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20197-2025</t>
        </is>
      </c>
      <c r="B235" s="1" t="n">
        <v>45772.6108912037</v>
      </c>
      <c r="C235" s="1" t="n">
        <v>46010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36105-2024</t>
        </is>
      </c>
      <c r="B236" s="1" t="n">
        <v>45533.890625</v>
      </c>
      <c r="C236" s="1" t="n">
        <v>46010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59640-2025</t>
        </is>
      </c>
      <c r="B237" s="1" t="n">
        <v>45992</v>
      </c>
      <c r="C237" s="1" t="n">
        <v>46010</v>
      </c>
      <c r="D237" t="inlineStr">
        <is>
          <t>JÖNKÖPINGS LÄN</t>
        </is>
      </c>
      <c r="E237" t="inlineStr">
        <is>
          <t>TRANÅS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54351-2025</t>
        </is>
      </c>
      <c r="B238" s="1" t="n">
        <v>45965.37271990741</v>
      </c>
      <c r="C238" s="1" t="n">
        <v>46010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56875-2024</t>
        </is>
      </c>
      <c r="B239" s="1" t="n">
        <v>45628.56390046296</v>
      </c>
      <c r="C239" s="1" t="n">
        <v>46010</v>
      </c>
      <c r="D239" t="inlineStr">
        <is>
          <t>JÖNKÖPINGS LÄN</t>
        </is>
      </c>
      <c r="E239" t="inlineStr">
        <is>
          <t>TRANÅS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54408-2025</t>
        </is>
      </c>
      <c r="B240" s="1" t="n">
        <v>45964</v>
      </c>
      <c r="C240" s="1" t="n">
        <v>46010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62867-2025</t>
        </is>
      </c>
      <c r="B241" s="1" t="n">
        <v>46008</v>
      </c>
      <c r="C241" s="1" t="n">
        <v>46010</v>
      </c>
      <c r="D241" t="inlineStr">
        <is>
          <t>JÖNKÖPINGS LÄN</t>
        </is>
      </c>
      <c r="E241" t="inlineStr">
        <is>
          <t>TRANÅS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54992-2025</t>
        </is>
      </c>
      <c r="B242" s="1" t="n">
        <v>45967</v>
      </c>
      <c r="C242" s="1" t="n">
        <v>46010</v>
      </c>
      <c r="D242" t="inlineStr">
        <is>
          <t>JÖNKÖPINGS LÄN</t>
        </is>
      </c>
      <c r="E242" t="inlineStr">
        <is>
          <t>TRANÅS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49958-2022</t>
        </is>
      </c>
      <c r="B243" s="1" t="n">
        <v>44865.37258101852</v>
      </c>
      <c r="C243" s="1" t="n">
        <v>46010</v>
      </c>
      <c r="D243" t="inlineStr">
        <is>
          <t>JÖNKÖPINGS LÄN</t>
        </is>
      </c>
      <c r="E243" t="inlineStr">
        <is>
          <t>TRANÅS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57130-2022</t>
        </is>
      </c>
      <c r="B244" s="1" t="n">
        <v>44895.55646990741</v>
      </c>
      <c r="C244" s="1" t="n">
        <v>46010</v>
      </c>
      <c r="D244" t="inlineStr">
        <is>
          <t>JÖNKÖPINGS LÄN</t>
        </is>
      </c>
      <c r="E244" t="inlineStr">
        <is>
          <t>TRANÅS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17567-2025</t>
        </is>
      </c>
      <c r="B245" s="1" t="n">
        <v>45757.64240740741</v>
      </c>
      <c r="C245" s="1" t="n">
        <v>46010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18073-2024</t>
        </is>
      </c>
      <c r="B246" s="1" t="n">
        <v>45420</v>
      </c>
      <c r="C246" s="1" t="n">
        <v>46010</v>
      </c>
      <c r="D246" t="inlineStr">
        <is>
          <t>JÖNKÖPINGS LÄN</t>
        </is>
      </c>
      <c r="E246" t="inlineStr">
        <is>
          <t>TRANÅS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23993-2023</t>
        </is>
      </c>
      <c r="B247" s="1" t="n">
        <v>45078</v>
      </c>
      <c r="C247" s="1" t="n">
        <v>46010</v>
      </c>
      <c r="D247" t="inlineStr">
        <is>
          <t>JÖNKÖPINGS LÄN</t>
        </is>
      </c>
      <c r="E247" t="inlineStr">
        <is>
          <t>TRANÅS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7940-2023</t>
        </is>
      </c>
      <c r="B248" s="1" t="n">
        <v>44973.65998842593</v>
      </c>
      <c r="C248" s="1" t="n">
        <v>46010</v>
      </c>
      <c r="D248" t="inlineStr">
        <is>
          <t>JÖNKÖPINGS LÄN</t>
        </is>
      </c>
      <c r="E248" t="inlineStr">
        <is>
          <t>TRANÅS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7950-2023</t>
        </is>
      </c>
      <c r="B249" s="1" t="n">
        <v>44973.67125</v>
      </c>
      <c r="C249" s="1" t="n">
        <v>46010</v>
      </c>
      <c r="D249" t="inlineStr">
        <is>
          <t>JÖNKÖPINGS LÄN</t>
        </is>
      </c>
      <c r="E249" t="inlineStr">
        <is>
          <t>TRANÅS</t>
        </is>
      </c>
      <c r="F249" t="inlineStr">
        <is>
          <t>Kommuner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46127-2024</t>
        </is>
      </c>
      <c r="B250" s="1" t="n">
        <v>45581.42474537037</v>
      </c>
      <c r="C250" s="1" t="n">
        <v>46010</v>
      </c>
      <c r="D250" t="inlineStr">
        <is>
          <t>JÖNKÖPINGS LÄN</t>
        </is>
      </c>
      <c r="E250" t="inlineStr">
        <is>
          <t>TRANÅS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59017-2021</t>
        </is>
      </c>
      <c r="B251" s="1" t="n">
        <v>44489</v>
      </c>
      <c r="C251" s="1" t="n">
        <v>46010</v>
      </c>
      <c r="D251" t="inlineStr">
        <is>
          <t>JÖNKÖPINGS LÄN</t>
        </is>
      </c>
      <c r="E251" t="inlineStr">
        <is>
          <t>TRANÅS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40212-2022</t>
        </is>
      </c>
      <c r="B252" s="1" t="n">
        <v>44820.63084490741</v>
      </c>
      <c r="C252" s="1" t="n">
        <v>46010</v>
      </c>
      <c r="D252" t="inlineStr">
        <is>
          <t>JÖNKÖPINGS LÄN</t>
        </is>
      </c>
      <c r="E252" t="inlineStr">
        <is>
          <t>TRANÅS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54703-2022</t>
        </is>
      </c>
      <c r="B253" s="1" t="n">
        <v>44881</v>
      </c>
      <c r="C253" s="1" t="n">
        <v>46010</v>
      </c>
      <c r="D253" t="inlineStr">
        <is>
          <t>JÖNKÖPINGS LÄN</t>
        </is>
      </c>
      <c r="E253" t="inlineStr">
        <is>
          <t>TRANÅS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1613-2022</t>
        </is>
      </c>
      <c r="B254" s="1" t="n">
        <v>44573</v>
      </c>
      <c r="C254" s="1" t="n">
        <v>46010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8874-2022</t>
        </is>
      </c>
      <c r="B255" s="1" t="n">
        <v>44614</v>
      </c>
      <c r="C255" s="1" t="n">
        <v>46010</v>
      </c>
      <c r="D255" t="inlineStr">
        <is>
          <t>JÖNKÖPINGS LÄN</t>
        </is>
      </c>
      <c r="E255" t="inlineStr">
        <is>
          <t>TRANÅS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35691-2021</t>
        </is>
      </c>
      <c r="B256" s="1" t="n">
        <v>44386</v>
      </c>
      <c r="C256" s="1" t="n">
        <v>46010</v>
      </c>
      <c r="D256" t="inlineStr">
        <is>
          <t>JÖNKÖPINGS LÄN</t>
        </is>
      </c>
      <c r="E256" t="inlineStr">
        <is>
          <t>TRANÅS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35696-2021</t>
        </is>
      </c>
      <c r="B257" s="1" t="n">
        <v>44386.48453703704</v>
      </c>
      <c r="C257" s="1" t="n">
        <v>46010</v>
      </c>
      <c r="D257" t="inlineStr">
        <is>
          <t>JÖNKÖPINGS LÄN</t>
        </is>
      </c>
      <c r="E257" t="inlineStr">
        <is>
          <t>TRANÅS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18179-2024</t>
        </is>
      </c>
      <c r="B258" s="1" t="n">
        <v>45420.64155092592</v>
      </c>
      <c r="C258" s="1" t="n">
        <v>46010</v>
      </c>
      <c r="D258" t="inlineStr">
        <is>
          <t>JÖNKÖPINGS LÄN</t>
        </is>
      </c>
      <c r="E258" t="inlineStr">
        <is>
          <t>TRANÅS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9705-2022</t>
        </is>
      </c>
      <c r="B259" s="1" t="n">
        <v>44617.69141203703</v>
      </c>
      <c r="C259" s="1" t="n">
        <v>46010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3421-2024</t>
        </is>
      </c>
      <c r="B260" s="1" t="n">
        <v>45319.82532407407</v>
      </c>
      <c r="C260" s="1" t="n">
        <v>46010</v>
      </c>
      <c r="D260" t="inlineStr">
        <is>
          <t>JÖNKÖPINGS LÄN</t>
        </is>
      </c>
      <c r="E260" t="inlineStr">
        <is>
          <t>TRANÅS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41496-2023</t>
        </is>
      </c>
      <c r="B261" s="1" t="n">
        <v>45175.47060185186</v>
      </c>
      <c r="C261" s="1" t="n">
        <v>46010</v>
      </c>
      <c r="D261" t="inlineStr">
        <is>
          <t>JÖNKÖPINGS LÄN</t>
        </is>
      </c>
      <c r="E261" t="inlineStr">
        <is>
          <t>TRANÅS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20558-2023</t>
        </is>
      </c>
      <c r="B262" s="1" t="n">
        <v>45057.62520833333</v>
      </c>
      <c r="C262" s="1" t="n">
        <v>46010</v>
      </c>
      <c r="D262" t="inlineStr">
        <is>
          <t>JÖNKÖPINGS LÄN</t>
        </is>
      </c>
      <c r="E262" t="inlineStr">
        <is>
          <t>TRANÅS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57038-2021</t>
        </is>
      </c>
      <c r="B263" s="1" t="n">
        <v>44482.51827546296</v>
      </c>
      <c r="C263" s="1" t="n">
        <v>46010</v>
      </c>
      <c r="D263" t="inlineStr">
        <is>
          <t>JÖNKÖPINGS LÄN</t>
        </is>
      </c>
      <c r="E263" t="inlineStr">
        <is>
          <t>TRANÅS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48315-2023</t>
        </is>
      </c>
      <c r="B264" s="1" t="n">
        <v>45201</v>
      </c>
      <c r="C264" s="1" t="n">
        <v>46010</v>
      </c>
      <c r="D264" t="inlineStr">
        <is>
          <t>JÖNKÖPINGS LÄN</t>
        </is>
      </c>
      <c r="E264" t="inlineStr">
        <is>
          <t>TRANÅS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644-2023</t>
        </is>
      </c>
      <c r="B265" s="1" t="n">
        <v>44930.64086805555</v>
      </c>
      <c r="C265" s="1" t="n">
        <v>46010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39600-2024</t>
        </is>
      </c>
      <c r="B266" s="1" t="n">
        <v>45552.37902777778</v>
      </c>
      <c r="C266" s="1" t="n">
        <v>46010</v>
      </c>
      <c r="D266" t="inlineStr">
        <is>
          <t>JÖNKÖPINGS LÄN</t>
        </is>
      </c>
      <c r="E266" t="inlineStr">
        <is>
          <t>TRANÅS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4153-2025</t>
        </is>
      </c>
      <c r="B267" s="1" t="n">
        <v>45685</v>
      </c>
      <c r="C267" s="1" t="n">
        <v>46010</v>
      </c>
      <c r="D267" t="inlineStr">
        <is>
          <t>JÖNKÖPINGS LÄN</t>
        </is>
      </c>
      <c r="E267" t="inlineStr">
        <is>
          <t>TRANÅS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17280-2021</t>
        </is>
      </c>
      <c r="B268" s="1" t="n">
        <v>44298</v>
      </c>
      <c r="C268" s="1" t="n">
        <v>46010</v>
      </c>
      <c r="D268" t="inlineStr">
        <is>
          <t>JÖNKÖPINGS LÄN</t>
        </is>
      </c>
      <c r="E268" t="inlineStr">
        <is>
          <t>TRANÅS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16587-2024</t>
        </is>
      </c>
      <c r="B269" s="1" t="n">
        <v>45408.48957175926</v>
      </c>
      <c r="C269" s="1" t="n">
        <v>46010</v>
      </c>
      <c r="D269" t="inlineStr">
        <is>
          <t>JÖNKÖPINGS LÄN</t>
        </is>
      </c>
      <c r="E269" t="inlineStr">
        <is>
          <t>TRANÅS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19494-2022</t>
        </is>
      </c>
      <c r="B270" s="1" t="n">
        <v>44693.49467592593</v>
      </c>
      <c r="C270" s="1" t="n">
        <v>46010</v>
      </c>
      <c r="D270" t="inlineStr">
        <is>
          <t>JÖNKÖPINGS LÄN</t>
        </is>
      </c>
      <c r="E270" t="inlineStr">
        <is>
          <t>TRANÅS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5898-2024</t>
        </is>
      </c>
      <c r="B271" s="1" t="n">
        <v>45335</v>
      </c>
      <c r="C271" s="1" t="n">
        <v>46010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34518-2023</t>
        </is>
      </c>
      <c r="B272" s="1" t="n">
        <v>45140.38641203703</v>
      </c>
      <c r="C272" s="1" t="n">
        <v>46010</v>
      </c>
      <c r="D272" t="inlineStr">
        <is>
          <t>JÖNKÖPINGS LÄN</t>
        </is>
      </c>
      <c r="E272" t="inlineStr">
        <is>
          <t>TRANÅS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31694-2024</t>
        </is>
      </c>
      <c r="B273" s="1" t="n">
        <v>45508</v>
      </c>
      <c r="C273" s="1" t="n">
        <v>46010</v>
      </c>
      <c r="D273" t="inlineStr">
        <is>
          <t>JÖNKÖPINGS LÄN</t>
        </is>
      </c>
      <c r="E273" t="inlineStr">
        <is>
          <t>TRANÅS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2768-2024</t>
        </is>
      </c>
      <c r="B274" s="1" t="n">
        <v>45314</v>
      </c>
      <c r="C274" s="1" t="n">
        <v>46010</v>
      </c>
      <c r="D274" t="inlineStr">
        <is>
          <t>JÖNKÖPINGS LÄN</t>
        </is>
      </c>
      <c r="E274" t="inlineStr">
        <is>
          <t>TRANÅS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48507-2021</t>
        </is>
      </c>
      <c r="B275" s="1" t="n">
        <v>44452.42856481481</v>
      </c>
      <c r="C275" s="1" t="n">
        <v>46010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18728-2024</t>
        </is>
      </c>
      <c r="B276" s="1" t="n">
        <v>45426.47565972222</v>
      </c>
      <c r="C276" s="1" t="n">
        <v>46010</v>
      </c>
      <c r="D276" t="inlineStr">
        <is>
          <t>JÖNKÖPINGS LÄN</t>
        </is>
      </c>
      <c r="E276" t="inlineStr">
        <is>
          <t>TRANÅS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39722-2024</t>
        </is>
      </c>
      <c r="B277" s="1" t="n">
        <v>45552.61659722222</v>
      </c>
      <c r="C277" s="1" t="n">
        <v>46010</v>
      </c>
      <c r="D277" t="inlineStr">
        <is>
          <t>JÖNKÖPINGS LÄN</t>
        </is>
      </c>
      <c r="E277" t="inlineStr">
        <is>
          <t>TRANÅS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12070-2024</t>
        </is>
      </c>
      <c r="B278" s="1" t="n">
        <v>45377.51591435185</v>
      </c>
      <c r="C278" s="1" t="n">
        <v>46010</v>
      </c>
      <c r="D278" t="inlineStr">
        <is>
          <t>JÖNKÖPINGS LÄN</t>
        </is>
      </c>
      <c r="E278" t="inlineStr">
        <is>
          <t>TRANÅS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36998-2024</t>
        </is>
      </c>
      <c r="B279" s="1" t="n">
        <v>45539</v>
      </c>
      <c r="C279" s="1" t="n">
        <v>46010</v>
      </c>
      <c r="D279" t="inlineStr">
        <is>
          <t>JÖNKÖPINGS LÄN</t>
        </is>
      </c>
      <c r="E279" t="inlineStr">
        <is>
          <t>TRANÅS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2537-2021</t>
        </is>
      </c>
      <c r="B280" s="1" t="n">
        <v>44214</v>
      </c>
      <c r="C280" s="1" t="n">
        <v>46010</v>
      </c>
      <c r="D280" t="inlineStr">
        <is>
          <t>JÖNKÖPINGS LÄN</t>
        </is>
      </c>
      <c r="E280" t="inlineStr">
        <is>
          <t>TRANÅS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19771-2023</t>
        </is>
      </c>
      <c r="B281" s="1" t="n">
        <v>45051.6136574074</v>
      </c>
      <c r="C281" s="1" t="n">
        <v>46010</v>
      </c>
      <c r="D281" t="inlineStr">
        <is>
          <t>JÖNKÖPINGS LÄN</t>
        </is>
      </c>
      <c r="E281" t="inlineStr">
        <is>
          <t>TRANÅS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17578-2025</t>
        </is>
      </c>
      <c r="B282" s="1" t="n">
        <v>45757</v>
      </c>
      <c r="C282" s="1" t="n">
        <v>46010</v>
      </c>
      <c r="D282" t="inlineStr">
        <is>
          <t>JÖNKÖPINGS LÄN</t>
        </is>
      </c>
      <c r="E282" t="inlineStr">
        <is>
          <t>TRANÅS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18496-2024</t>
        </is>
      </c>
      <c r="B283" s="1" t="n">
        <v>45425</v>
      </c>
      <c r="C283" s="1" t="n">
        <v>46010</v>
      </c>
      <c r="D283" t="inlineStr">
        <is>
          <t>JÖNKÖPINGS LÄN</t>
        </is>
      </c>
      <c r="E283" t="inlineStr">
        <is>
          <t>TRANÅS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39652-2021</t>
        </is>
      </c>
      <c r="B284" s="1" t="n">
        <v>44417</v>
      </c>
      <c r="C284" s="1" t="n">
        <v>46010</v>
      </c>
      <c r="D284" t="inlineStr">
        <is>
          <t>JÖNKÖPINGS LÄN</t>
        </is>
      </c>
      <c r="E284" t="inlineStr">
        <is>
          <t>TRANÅS</t>
        </is>
      </c>
      <c r="F284" t="inlineStr">
        <is>
          <t>Allmännings- och besparingsskogar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21319-2023</t>
        </is>
      </c>
      <c r="B285" s="1" t="n">
        <v>45062</v>
      </c>
      <c r="C285" s="1" t="n">
        <v>46010</v>
      </c>
      <c r="D285" t="inlineStr">
        <is>
          <t>JÖNKÖPINGS LÄN</t>
        </is>
      </c>
      <c r="E285" t="inlineStr">
        <is>
          <t>TRANÅS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61393-2023</t>
        </is>
      </c>
      <c r="B286" s="1" t="n">
        <v>45261</v>
      </c>
      <c r="C286" s="1" t="n">
        <v>46010</v>
      </c>
      <c r="D286" t="inlineStr">
        <is>
          <t>JÖNKÖPINGS LÄN</t>
        </is>
      </c>
      <c r="E286" t="inlineStr">
        <is>
          <t>TRANÅS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40564-2024</t>
        </is>
      </c>
      <c r="B287" s="1" t="n">
        <v>45555.66824074074</v>
      </c>
      <c r="C287" s="1" t="n">
        <v>46010</v>
      </c>
      <c r="D287" t="inlineStr">
        <is>
          <t>JÖNKÖPINGS LÄN</t>
        </is>
      </c>
      <c r="E287" t="inlineStr">
        <is>
          <t>TRANÅS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61702-2022</t>
        </is>
      </c>
      <c r="B288" s="1" t="n">
        <v>44917.41598379629</v>
      </c>
      <c r="C288" s="1" t="n">
        <v>46010</v>
      </c>
      <c r="D288" t="inlineStr">
        <is>
          <t>JÖNKÖPINGS LÄN</t>
        </is>
      </c>
      <c r="E288" t="inlineStr">
        <is>
          <t>TRANÅS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49432-2024</t>
        </is>
      </c>
      <c r="B289" s="1" t="n">
        <v>45595</v>
      </c>
      <c r="C289" s="1" t="n">
        <v>46010</v>
      </c>
      <c r="D289" t="inlineStr">
        <is>
          <t>JÖNKÖPINGS LÄN</t>
        </is>
      </c>
      <c r="E289" t="inlineStr">
        <is>
          <t>TRANÅS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4563-2024</t>
        </is>
      </c>
      <c r="B290" s="1" t="n">
        <v>45327</v>
      </c>
      <c r="C290" s="1" t="n">
        <v>46010</v>
      </c>
      <c r="D290" t="inlineStr">
        <is>
          <t>JÖNKÖPINGS LÄN</t>
        </is>
      </c>
      <c r="E290" t="inlineStr">
        <is>
          <t>TRANÅS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16150-2023</t>
        </is>
      </c>
      <c r="B291" s="1" t="n">
        <v>45027.65725694445</v>
      </c>
      <c r="C291" s="1" t="n">
        <v>46010</v>
      </c>
      <c r="D291" t="inlineStr">
        <is>
          <t>JÖNKÖPINGS LÄN</t>
        </is>
      </c>
      <c r="E291" t="inlineStr">
        <is>
          <t>TRANÅS</t>
        </is>
      </c>
      <c r="F291" t="inlineStr">
        <is>
          <t>Allmännings- och besparingsskogar</t>
        </is>
      </c>
      <c r="G291" t="n">
        <v>12.3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37081-2021</t>
        </is>
      </c>
      <c r="B292" s="1" t="n">
        <v>44395.50489583334</v>
      </c>
      <c r="C292" s="1" t="n">
        <v>46010</v>
      </c>
      <c r="D292" t="inlineStr">
        <is>
          <t>JÖNKÖPINGS LÄN</t>
        </is>
      </c>
      <c r="E292" t="inlineStr">
        <is>
          <t>TRANÅS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50202-2023</t>
        </is>
      </c>
      <c r="B293" s="1" t="n">
        <v>45215</v>
      </c>
      <c r="C293" s="1" t="n">
        <v>46010</v>
      </c>
      <c r="D293" t="inlineStr">
        <is>
          <t>JÖNKÖPINGS LÄN</t>
        </is>
      </c>
      <c r="E293" t="inlineStr">
        <is>
          <t>TRANÅS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19328-2025</t>
        </is>
      </c>
      <c r="B294" s="1" t="n">
        <v>45769.584375</v>
      </c>
      <c r="C294" s="1" t="n">
        <v>46010</v>
      </c>
      <c r="D294" t="inlineStr">
        <is>
          <t>JÖNKÖPINGS LÄN</t>
        </is>
      </c>
      <c r="E294" t="inlineStr">
        <is>
          <t>TRANÅS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30138-2024</t>
        </is>
      </c>
      <c r="B295" s="1" t="n">
        <v>45489.57371527778</v>
      </c>
      <c r="C295" s="1" t="n">
        <v>46010</v>
      </c>
      <c r="D295" t="inlineStr">
        <is>
          <t>JÖNKÖPINGS LÄN</t>
        </is>
      </c>
      <c r="E295" t="inlineStr">
        <is>
          <t>TRANÅS</t>
        </is>
      </c>
      <c r="F295" t="inlineStr">
        <is>
          <t>Allmännings- och besparingsskogar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46854-2024</t>
        </is>
      </c>
      <c r="B296" s="1" t="n">
        <v>45583.61962962963</v>
      </c>
      <c r="C296" s="1" t="n">
        <v>46010</v>
      </c>
      <c r="D296" t="inlineStr">
        <is>
          <t>JÖNKÖPINGS LÄN</t>
        </is>
      </c>
      <c r="E296" t="inlineStr">
        <is>
          <t>TRANÅS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12474-2024</t>
        </is>
      </c>
      <c r="B297" s="1" t="n">
        <v>45379.51564814815</v>
      </c>
      <c r="C297" s="1" t="n">
        <v>46010</v>
      </c>
      <c r="D297" t="inlineStr">
        <is>
          <t>JÖNKÖPINGS LÄN</t>
        </is>
      </c>
      <c r="E297" t="inlineStr">
        <is>
          <t>TRANÅS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12476-2024</t>
        </is>
      </c>
      <c r="B298" s="1" t="n">
        <v>45379.51759259259</v>
      </c>
      <c r="C298" s="1" t="n">
        <v>46010</v>
      </c>
      <c r="D298" t="inlineStr">
        <is>
          <t>JÖNKÖPINGS LÄN</t>
        </is>
      </c>
      <c r="E298" t="inlineStr">
        <is>
          <t>TRANÅS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32294-2021</t>
        </is>
      </c>
      <c r="B299" s="1" t="n">
        <v>44371</v>
      </c>
      <c r="C299" s="1" t="n">
        <v>46010</v>
      </c>
      <c r="D299" t="inlineStr">
        <is>
          <t>JÖNKÖPINGS LÄN</t>
        </is>
      </c>
      <c r="E299" t="inlineStr">
        <is>
          <t>TRANÅS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54791-2023</t>
        </is>
      </c>
      <c r="B300" s="1" t="n">
        <v>45229</v>
      </c>
      <c r="C300" s="1" t="n">
        <v>46010</v>
      </c>
      <c r="D300" t="inlineStr">
        <is>
          <t>JÖNKÖPINGS LÄN</t>
        </is>
      </c>
      <c r="E300" t="inlineStr">
        <is>
          <t>TRANÅS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10453-2025</t>
        </is>
      </c>
      <c r="B301" s="1" t="n">
        <v>45720.70534722223</v>
      </c>
      <c r="C301" s="1" t="n">
        <v>46010</v>
      </c>
      <c r="D301" t="inlineStr">
        <is>
          <t>JÖNKÖPINGS LÄN</t>
        </is>
      </c>
      <c r="E301" t="inlineStr">
        <is>
          <t>TRANÅS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20810-2025</t>
        </is>
      </c>
      <c r="B302" s="1" t="n">
        <v>45776.66296296296</v>
      </c>
      <c r="C302" s="1" t="n">
        <v>46010</v>
      </c>
      <c r="D302" t="inlineStr">
        <is>
          <t>JÖNKÖPINGS LÄN</t>
        </is>
      </c>
      <c r="E302" t="inlineStr">
        <is>
          <t>TRANÅS</t>
        </is>
      </c>
      <c r="F302" t="inlineStr">
        <is>
          <t>Allmännings- och besparingsskogar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20625-2025</t>
        </is>
      </c>
      <c r="B303" s="1" t="n">
        <v>45776</v>
      </c>
      <c r="C303" s="1" t="n">
        <v>46010</v>
      </c>
      <c r="D303" t="inlineStr">
        <is>
          <t>JÖNKÖPINGS LÄN</t>
        </is>
      </c>
      <c r="E303" t="inlineStr">
        <is>
          <t>TRANÅS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20199-2025</t>
        </is>
      </c>
      <c r="B304" s="1" t="n">
        <v>45772.61246527778</v>
      </c>
      <c r="C304" s="1" t="n">
        <v>46010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21459-2025</t>
        </is>
      </c>
      <c r="B305" s="1" t="n">
        <v>45782</v>
      </c>
      <c r="C305" s="1" t="n">
        <v>46010</v>
      </c>
      <c r="D305" t="inlineStr">
        <is>
          <t>JÖNKÖPINGS LÄN</t>
        </is>
      </c>
      <c r="E305" t="inlineStr">
        <is>
          <t>TRANÅS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21351-2025</t>
        </is>
      </c>
      <c r="B306" s="1" t="n">
        <v>45782</v>
      </c>
      <c r="C306" s="1" t="n">
        <v>46010</v>
      </c>
      <c r="D306" t="inlineStr">
        <is>
          <t>JÖNKÖPINGS LÄN</t>
        </is>
      </c>
      <c r="E306" t="inlineStr">
        <is>
          <t>TRANÅS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30647-2024</t>
        </is>
      </c>
      <c r="B307" s="1" t="n">
        <v>45495.59086805556</v>
      </c>
      <c r="C307" s="1" t="n">
        <v>46010</v>
      </c>
      <c r="D307" t="inlineStr">
        <is>
          <t>JÖNKÖPINGS LÄN</t>
        </is>
      </c>
      <c r="E307" t="inlineStr">
        <is>
          <t>TRANÅS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37703-2023</t>
        </is>
      </c>
      <c r="B308" s="1" t="n">
        <v>45159</v>
      </c>
      <c r="C308" s="1" t="n">
        <v>46010</v>
      </c>
      <c r="D308" t="inlineStr">
        <is>
          <t>JÖNKÖPINGS LÄN</t>
        </is>
      </c>
      <c r="E308" t="inlineStr">
        <is>
          <t>TRANÅS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22430-2025</t>
        </is>
      </c>
      <c r="B309" s="1" t="n">
        <v>45786.57684027778</v>
      </c>
      <c r="C309" s="1" t="n">
        <v>46010</v>
      </c>
      <c r="D309" t="inlineStr">
        <is>
          <t>JÖNKÖPINGS LÄN</t>
        </is>
      </c>
      <c r="E309" t="inlineStr">
        <is>
          <t>TRANÅS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22620-2025</t>
        </is>
      </c>
      <c r="B310" s="1" t="n">
        <v>45789.43079861111</v>
      </c>
      <c r="C310" s="1" t="n">
        <v>46010</v>
      </c>
      <c r="D310" t="inlineStr">
        <is>
          <t>JÖNKÖPINGS LÄN</t>
        </is>
      </c>
      <c r="E310" t="inlineStr">
        <is>
          <t>TRANÅS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39976-2024</t>
        </is>
      </c>
      <c r="B311" s="1" t="n">
        <v>45553</v>
      </c>
      <c r="C311" s="1" t="n">
        <v>46010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2025-12-19T10:38:31Z</dcterms:created>
  <dcterms:modified xmlns:dcterms="http://purl.org/dc/terms/" xmlns:xsi="http://www.w3.org/2001/XMLSchema-instance" xsi:type="dcterms:W3CDTF">2025-12-19T10:38:31Z</dcterms:modified>
</cp:coreProperties>
</file>