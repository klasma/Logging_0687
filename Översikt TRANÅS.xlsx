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45745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45745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45745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45745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45745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45745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45745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45745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45745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45745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45745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45745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45745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45745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45745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45745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45745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45745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45745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45745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45745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45745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45745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45745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45745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45745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45745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45745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45745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45745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45745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31857-2024</t>
        </is>
      </c>
      <c r="B33" s="1" t="n">
        <v>45509</v>
      </c>
      <c r="C33" s="1" t="n">
        <v>45745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31857-2024 artfynd.xlsx", "A 31857-2024")</f>
        <v/>
      </c>
      <c r="T33">
        <f>HYPERLINK("https://klasma.github.io/Logging_0687/kartor/A 31857-2024 karta.png", "A 31857-2024")</f>
        <v/>
      </c>
      <c r="V33">
        <f>HYPERLINK("https://klasma.github.io/Logging_0687/klagomål/A 31857-2024 FSC-klagomål.docx", "A 31857-2024")</f>
        <v/>
      </c>
      <c r="W33">
        <f>HYPERLINK("https://klasma.github.io/Logging_0687/klagomålsmail/A 31857-2024 FSC-klagomål mail.docx", "A 31857-2024")</f>
        <v/>
      </c>
      <c r="X33">
        <f>HYPERLINK("https://klasma.github.io/Logging_0687/tillsyn/A 31857-2024 tillsynsbegäran.docx", "A 31857-2024")</f>
        <v/>
      </c>
      <c r="Y33">
        <f>HYPERLINK("https://klasma.github.io/Logging_0687/tillsynsmail/A 31857-2024 tillsynsbegäran mail.docx", "A 31857-2024")</f>
        <v/>
      </c>
    </row>
    <row r="34" ht="15" customHeight="1">
      <c r="A34" t="inlineStr">
        <is>
          <t>A 17769-2019</t>
        </is>
      </c>
      <c r="B34" s="1" t="n">
        <v>43556</v>
      </c>
      <c r="C34" s="1" t="n">
        <v>45745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19113-2019</t>
        </is>
      </c>
      <c r="B35" s="1" t="n">
        <v>43563</v>
      </c>
      <c r="C35" s="1" t="n">
        <v>45745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19090-2019</t>
        </is>
      </c>
      <c r="B36" s="1" t="n">
        <v>43564</v>
      </c>
      <c r="C36" s="1" t="n">
        <v>45745</v>
      </c>
      <c r="D36" t="inlineStr">
        <is>
          <t>JÖNKÖPINGS LÄN</t>
        </is>
      </c>
      <c r="E36" t="inlineStr">
        <is>
          <t>TRANÅS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19481-2019</t>
        </is>
      </c>
      <c r="B37" s="1" t="n">
        <v>43565</v>
      </c>
      <c r="C37" s="1" t="n">
        <v>45745</v>
      </c>
      <c r="D37" t="inlineStr">
        <is>
          <t>JÖNKÖPINGS LÄN</t>
        </is>
      </c>
      <c r="E37" t="inlineStr">
        <is>
          <t>TRANÅS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19471-2019</t>
        </is>
      </c>
      <c r="B38" s="1" t="n">
        <v>43565</v>
      </c>
      <c r="C38" s="1" t="n">
        <v>45745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21436-2019</t>
        </is>
      </c>
      <c r="B39" s="1" t="n">
        <v>43580</v>
      </c>
      <c r="C39" s="1" t="n">
        <v>45745</v>
      </c>
      <c r="D39" t="inlineStr">
        <is>
          <t>JÖNKÖPINGS LÄN</t>
        </is>
      </c>
      <c r="E39" t="inlineStr">
        <is>
          <t>TRANÅS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21483-2019</t>
        </is>
      </c>
      <c r="B40" s="1" t="n">
        <v>43580</v>
      </c>
      <c r="C40" s="1" t="n">
        <v>45745</v>
      </c>
      <c r="D40" t="inlineStr">
        <is>
          <t>JÖNKÖPINGS LÄN</t>
        </is>
      </c>
      <c r="E40" t="inlineStr">
        <is>
          <t>TRANÅS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21490-2019</t>
        </is>
      </c>
      <c r="B41" s="1" t="n">
        <v>43580</v>
      </c>
      <c r="C41" s="1" t="n">
        <v>45745</v>
      </c>
      <c r="D41" t="inlineStr">
        <is>
          <t>JÖNKÖPINGS LÄN</t>
        </is>
      </c>
      <c r="E41" t="inlineStr">
        <is>
          <t>TRANÅS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21514-2019</t>
        </is>
      </c>
      <c r="B42" s="1" t="n">
        <v>43580</v>
      </c>
      <c r="C42" s="1" t="n">
        <v>45745</v>
      </c>
      <c r="D42" t="inlineStr">
        <is>
          <t>JÖNKÖPINGS LÄN</t>
        </is>
      </c>
      <c r="E42" t="inlineStr">
        <is>
          <t>TRANÅS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21470-2019</t>
        </is>
      </c>
      <c r="B43" s="1" t="n">
        <v>43580</v>
      </c>
      <c r="C43" s="1" t="n">
        <v>45745</v>
      </c>
      <c r="D43" t="inlineStr">
        <is>
          <t>JÖNKÖPINGS LÄN</t>
        </is>
      </c>
      <c r="E43" t="inlineStr">
        <is>
          <t>TRANÅS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21474-2019</t>
        </is>
      </c>
      <c r="B44" s="1" t="n">
        <v>43580</v>
      </c>
      <c r="C44" s="1" t="n">
        <v>45745</v>
      </c>
      <c r="D44" t="inlineStr">
        <is>
          <t>JÖNKÖPINGS LÄN</t>
        </is>
      </c>
      <c r="E44" t="inlineStr">
        <is>
          <t>TRANÅS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21385-2019</t>
        </is>
      </c>
      <c r="B45" s="1" t="n">
        <v>43580</v>
      </c>
      <c r="C45" s="1" t="n">
        <v>45745</v>
      </c>
      <c r="D45" t="inlineStr">
        <is>
          <t>JÖNKÖPINGS LÄN</t>
        </is>
      </c>
      <c r="E45" t="inlineStr">
        <is>
          <t>TRANÅS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21482-2019</t>
        </is>
      </c>
      <c r="B46" s="1" t="n">
        <v>43580</v>
      </c>
      <c r="C46" s="1" t="n">
        <v>45745</v>
      </c>
      <c r="D46" t="inlineStr">
        <is>
          <t>JÖNKÖPINGS LÄN</t>
        </is>
      </c>
      <c r="E46" t="inlineStr">
        <is>
          <t>TRANÅS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24206-2019</t>
        </is>
      </c>
      <c r="B47" s="1" t="n">
        <v>43598</v>
      </c>
      <c r="C47" s="1" t="n">
        <v>45745</v>
      </c>
      <c r="D47" t="inlineStr">
        <is>
          <t>JÖNKÖPINGS LÄN</t>
        </is>
      </c>
      <c r="E47" t="inlineStr">
        <is>
          <t>TRANÅS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24597-2019</t>
        </is>
      </c>
      <c r="B48" s="1" t="n">
        <v>43600</v>
      </c>
      <c r="C48" s="1" t="n">
        <v>45745</v>
      </c>
      <c r="D48" t="inlineStr">
        <is>
          <t>JÖNKÖPINGS LÄN</t>
        </is>
      </c>
      <c r="E48" t="inlineStr">
        <is>
          <t>TRANÅS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27551-2019</t>
        </is>
      </c>
      <c r="B49" s="1" t="n">
        <v>43619</v>
      </c>
      <c r="C49" s="1" t="n">
        <v>45745</v>
      </c>
      <c r="D49" t="inlineStr">
        <is>
          <t>JÖNKÖPINGS LÄN</t>
        </is>
      </c>
      <c r="E49" t="inlineStr">
        <is>
          <t>TRANÅS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27963-2019</t>
        </is>
      </c>
      <c r="B50" s="1" t="n">
        <v>43620</v>
      </c>
      <c r="C50" s="1" t="n">
        <v>45745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27958-2019</t>
        </is>
      </c>
      <c r="B51" s="1" t="n">
        <v>43620</v>
      </c>
      <c r="C51" s="1" t="n">
        <v>45745</v>
      </c>
      <c r="D51" t="inlineStr">
        <is>
          <t>JÖNKÖPINGS LÄN</t>
        </is>
      </c>
      <c r="E51" t="inlineStr">
        <is>
          <t>TRANÅS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29990-2019</t>
        </is>
      </c>
      <c r="B52" s="1" t="n">
        <v>43633</v>
      </c>
      <c r="C52" s="1" t="n">
        <v>45745</v>
      </c>
      <c r="D52" t="inlineStr">
        <is>
          <t>JÖNKÖPINGS LÄN</t>
        </is>
      </c>
      <c r="E52" t="inlineStr">
        <is>
          <t>TRANÅS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45745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45745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45745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45745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45745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45745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45745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45745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45745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45745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45745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45745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45745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45745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45745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45745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45745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45745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45745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45745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45745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45745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45745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45745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45745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45745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45745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45745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45745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45745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45745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45745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45745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45745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45745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45745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45745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45745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45745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45745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45745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45745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45745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45745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45745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45745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45745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45745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45745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45745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45745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45745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45745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45745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45745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45745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45745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45745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45745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45745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45745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45745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45745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45745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45745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45745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45745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45745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45745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45745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45745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45745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45745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45745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45745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45745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45745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45745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45745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45745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45745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45745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45745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45745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45745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45745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45745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45745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45745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45745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45745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45745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45745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45745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45745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45745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45745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45745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45745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45745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45745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45745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45745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45745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45745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45745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45745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45745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45745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45745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45745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45745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45745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45745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45745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45745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45745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45745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45745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45745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45745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45745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45745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45745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45745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45745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45745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45745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45745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45745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45745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45745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45745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45745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45745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45745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45745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45745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45745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45745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45745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45745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45745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45745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45745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45745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45745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45745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45745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45745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45745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45745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45745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45745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45745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45745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45745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45745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45745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45745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45745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45745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45745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45745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45745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45745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45745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45745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45745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45745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45745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45745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45745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45745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45745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45745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45745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45745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45745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45745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45745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45745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45745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45745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45745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45745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45745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45745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45745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45745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45745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45745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45745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45745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45745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45745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45745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45745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45745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45745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45745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45745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45745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45745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45745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45745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45745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45745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45745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45745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45745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45745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45745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45745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45745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45745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45745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45745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45745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45745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45745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45745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45745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45745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45745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45745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45745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45745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45745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45745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45745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45745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45745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45745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45745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45745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45745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45745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45745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45745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45745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45745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45745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45745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45745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45745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45745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45745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45745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45745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45745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45745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45745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45745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45745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45745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45745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45745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45745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45745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45745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45745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45745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45745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45745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45745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45745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45745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45745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45745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45745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45745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45745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45745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45745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45745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45745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45745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45745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45745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45745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45745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45745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45745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45745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45745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45745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45745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45745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45745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45745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45745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45745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45745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45745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45745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45745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45745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45745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45745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45745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45745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45745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45745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45745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45745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45745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45745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45745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45745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45745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45745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45745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45745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45745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45745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45745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45745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45745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45745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45745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45745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45745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45745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45745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45745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45745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45745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45745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45745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45745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45745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45745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45745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45745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45745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45745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45745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45745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45745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45745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45745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45745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45745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45745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45745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45745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45745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45745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45745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45745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45745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45745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45745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45745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45745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45745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45745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45745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45745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45745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45745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45745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45745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45745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45745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45745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45745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45745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45745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45745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45745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45745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45745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45745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45745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45745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45745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45745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45745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45745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45745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45745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45745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45745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45745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45745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45745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45745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45745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45745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45745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45745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45745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45745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45745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45745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45745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45745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45745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45745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45745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45745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45745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45745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45745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45745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45745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45745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45745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45745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45745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45745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45745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45745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45745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45745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45745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45745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45745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45745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45745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45745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45745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45745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45745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45745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45745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45745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45745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45745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45745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45745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45745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45745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45745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45745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45745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45745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45745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45745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45745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45745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45745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45745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45745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45745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45745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45745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45745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45745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45745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45745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45745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45745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45745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45745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45745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45745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45745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45745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45745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45745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45745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45745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45745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45745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45745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45745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45745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45745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45745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45745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45745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45745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45745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45745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45745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45745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4233-2025</t>
        </is>
      </c>
      <c r="B532" s="1" t="n">
        <v>45685</v>
      </c>
      <c r="C532" s="1" t="n">
        <v>45745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5066-2025</t>
        </is>
      </c>
      <c r="B533" s="1" t="n">
        <v>45691</v>
      </c>
      <c r="C533" s="1" t="n">
        <v>45745</v>
      </c>
      <c r="D533" t="inlineStr">
        <is>
          <t>JÖNKÖPINGS LÄN</t>
        </is>
      </c>
      <c r="E533" t="inlineStr">
        <is>
          <t>TRANÅS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5615-2025</t>
        </is>
      </c>
      <c r="B534" s="1" t="n">
        <v>45693</v>
      </c>
      <c r="C534" s="1" t="n">
        <v>45745</v>
      </c>
      <c r="D534" t="inlineStr">
        <is>
          <t>JÖNKÖPINGS LÄN</t>
        </is>
      </c>
      <c r="E534" t="inlineStr">
        <is>
          <t>TRANÅS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5574-2025</t>
        </is>
      </c>
      <c r="B535" s="1" t="n">
        <v>45693</v>
      </c>
      <c r="C535" s="1" t="n">
        <v>45745</v>
      </c>
      <c r="D535" t="inlineStr">
        <is>
          <t>JÖNKÖPINGS LÄN</t>
        </is>
      </c>
      <c r="E535" t="inlineStr">
        <is>
          <t>TRANÅS</t>
        </is>
      </c>
      <c r="F535" t="inlineStr">
        <is>
          <t>Kommuner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6201-2025</t>
        </is>
      </c>
      <c r="B536" s="1" t="n">
        <v>45698</v>
      </c>
      <c r="C536" s="1" t="n">
        <v>45745</v>
      </c>
      <c r="D536" t="inlineStr">
        <is>
          <t>JÖNKÖPINGS LÄN</t>
        </is>
      </c>
      <c r="E536" t="inlineStr">
        <is>
          <t>TRANÅS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8999-2025</t>
        </is>
      </c>
      <c r="B537" s="1" t="n">
        <v>45712</v>
      </c>
      <c r="C537" s="1" t="n">
        <v>45745</v>
      </c>
      <c r="D537" t="inlineStr">
        <is>
          <t>JÖNKÖPINGS LÄN</t>
        </is>
      </c>
      <c r="E537" t="inlineStr">
        <is>
          <t>TRANÅS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9229-2025</t>
        </is>
      </c>
      <c r="B538" s="1" t="n">
        <v>45713</v>
      </c>
      <c r="C538" s="1" t="n">
        <v>45745</v>
      </c>
      <c r="D538" t="inlineStr">
        <is>
          <t>JÖNKÖPINGS LÄN</t>
        </is>
      </c>
      <c r="E538" t="inlineStr">
        <is>
          <t>TRANÅS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9800-2025</t>
        </is>
      </c>
      <c r="B539" s="1" t="n">
        <v>45715</v>
      </c>
      <c r="C539" s="1" t="n">
        <v>45745</v>
      </c>
      <c r="D539" t="inlineStr">
        <is>
          <t>JÖNKÖPINGS LÄN</t>
        </is>
      </c>
      <c r="E539" t="inlineStr">
        <is>
          <t>TRANÅS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9731-2025</t>
        </is>
      </c>
      <c r="B540" s="1" t="n">
        <v>45716</v>
      </c>
      <c r="C540" s="1" t="n">
        <v>45745</v>
      </c>
      <c r="D540" t="inlineStr">
        <is>
          <t>JÖNKÖPINGS LÄN</t>
        </is>
      </c>
      <c r="E540" t="inlineStr">
        <is>
          <t>TRANÅS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9732-2025</t>
        </is>
      </c>
      <c r="B541" s="1" t="n">
        <v>45716</v>
      </c>
      <c r="C541" s="1" t="n">
        <v>45745</v>
      </c>
      <c r="D541" t="inlineStr">
        <is>
          <t>JÖNKÖPINGS LÄN</t>
        </is>
      </c>
      <c r="E541" t="inlineStr">
        <is>
          <t>TRANÅS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9734-2025</t>
        </is>
      </c>
      <c r="B542" s="1" t="n">
        <v>45716</v>
      </c>
      <c r="C542" s="1" t="n">
        <v>45745</v>
      </c>
      <c r="D542" t="inlineStr">
        <is>
          <t>JÖNKÖPINGS LÄN</t>
        </is>
      </c>
      <c r="E542" t="inlineStr">
        <is>
          <t>TRANÅS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9750-2025</t>
        </is>
      </c>
      <c r="B543" s="1" t="n">
        <v>45716</v>
      </c>
      <c r="C543" s="1" t="n">
        <v>45745</v>
      </c>
      <c r="D543" t="inlineStr">
        <is>
          <t>JÖNKÖPINGS LÄN</t>
        </is>
      </c>
      <c r="E543" t="inlineStr">
        <is>
          <t>TRANÅS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9727-2025</t>
        </is>
      </c>
      <c r="B544" s="1" t="n">
        <v>45716</v>
      </c>
      <c r="C544" s="1" t="n">
        <v>45745</v>
      </c>
      <c r="D544" t="inlineStr">
        <is>
          <t>JÖNKÖPINGS LÄN</t>
        </is>
      </c>
      <c r="E544" t="inlineStr">
        <is>
          <t>TRANÅS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10453-2025</t>
        </is>
      </c>
      <c r="B545" s="1" t="n">
        <v>45720</v>
      </c>
      <c r="C545" s="1" t="n">
        <v>45745</v>
      </c>
      <c r="D545" t="inlineStr">
        <is>
          <t>JÖNKÖPINGS LÄN</t>
        </is>
      </c>
      <c r="E545" t="inlineStr">
        <is>
          <t>TRANÅS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11986-2025</t>
        </is>
      </c>
      <c r="B546" s="1" t="n">
        <v>45728</v>
      </c>
      <c r="C546" s="1" t="n">
        <v>45745</v>
      </c>
      <c r="D546" t="inlineStr">
        <is>
          <t>JÖNKÖPINGS LÄN</t>
        </is>
      </c>
      <c r="E546" t="inlineStr">
        <is>
          <t>TRANÅS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13581-2025</t>
        </is>
      </c>
      <c r="B547" s="1" t="n">
        <v>45736</v>
      </c>
      <c r="C547" s="1" t="n">
        <v>45745</v>
      </c>
      <c r="D547" t="inlineStr">
        <is>
          <t>JÖNKÖPINGS LÄN</t>
        </is>
      </c>
      <c r="E547" t="inlineStr">
        <is>
          <t>TRANÅS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14154-2025</t>
        </is>
      </c>
      <c r="B548" s="1" t="n">
        <v>45740</v>
      </c>
      <c r="C548" s="1" t="n">
        <v>45745</v>
      </c>
      <c r="D548" t="inlineStr">
        <is>
          <t>JÖNKÖPINGS LÄN</t>
        </is>
      </c>
      <c r="E548" t="inlineStr">
        <is>
          <t>TRANÅS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15275-2025</t>
        </is>
      </c>
      <c r="B549" s="1" t="n">
        <v>45744</v>
      </c>
      <c r="C549" s="1" t="n">
        <v>45745</v>
      </c>
      <c r="D549" t="inlineStr">
        <is>
          <t>JÖNKÖPINGS LÄN</t>
        </is>
      </c>
      <c r="E549" t="inlineStr">
        <is>
          <t>TRANÅS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2025-03-29T18:11:13Z</dcterms:created>
  <dcterms:modified xmlns:dcterms="http://purl.org/dc/terms/" xmlns:xsi="http://www.w3.org/2001/XMLSchema-instance" xsi:type="dcterms:W3CDTF">2025-03-29T18:11:13Z</dcterms:modified>
</cp:coreProperties>
</file>