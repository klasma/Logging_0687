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45704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45704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45704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45704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45704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45704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45704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45704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45704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45704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45704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45704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45704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40949-2019</t>
        </is>
      </c>
      <c r="B15" s="1" t="n">
        <v>43697</v>
      </c>
      <c r="C15" s="1" t="n">
        <v>45704</v>
      </c>
      <c r="D15" t="inlineStr">
        <is>
          <t>JÖNKÖPINGS LÄN</t>
        </is>
      </c>
      <c r="E15" t="inlineStr">
        <is>
          <t>TRANÅS</t>
        </is>
      </c>
      <c r="G15" t="n">
        <v>5.7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HYPERLINK("https://klasma.github.io/Logging_0687/artfynd/A 40949-2019 artfynd.xlsx", "A 40949-2019")</f>
        <v/>
      </c>
      <c r="T15">
        <f>HYPERLINK("https://klasma.github.io/Logging_0687/kartor/A 40949-2019 karta.png", "A 40949-2019")</f>
        <v/>
      </c>
      <c r="U15">
        <f>HYPERLINK("https://klasma.github.io/Logging_0687/knärot/A 40949-2019 karta knärot.png", "A 40949-2019")</f>
        <v/>
      </c>
      <c r="V15">
        <f>HYPERLINK("https://klasma.github.io/Logging_0687/klagomål/A 40949-2019 FSC-klagomål.docx", "A 40949-2019")</f>
        <v/>
      </c>
      <c r="W15">
        <f>HYPERLINK("https://klasma.github.io/Logging_0687/klagomålsmail/A 40949-2019 FSC-klagomål mail.docx", "A 40949-2019")</f>
        <v/>
      </c>
      <c r="X15">
        <f>HYPERLINK("https://klasma.github.io/Logging_0687/tillsyn/A 40949-2019 tillsynsbegäran.docx", "A 40949-2019")</f>
        <v/>
      </c>
      <c r="Y15">
        <f>HYPERLINK("https://klasma.github.io/Logging_0687/tillsynsmail/A 40949-2019 tillsynsbegäran mail.docx", "A 40949-2019")</f>
        <v/>
      </c>
    </row>
    <row r="16" ht="15" customHeight="1">
      <c r="A16" t="inlineStr">
        <is>
          <t>A 54655-2019</t>
        </is>
      </c>
      <c r="B16" s="1" t="n">
        <v>43754</v>
      </c>
      <c r="C16" s="1" t="n">
        <v>45704</v>
      </c>
      <c r="D16" t="inlineStr">
        <is>
          <t>JÖNKÖPINGS LÄN</t>
        </is>
      </c>
      <c r="E16" t="inlineStr">
        <is>
          <t>TRANÅS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54655-2019 artfynd.xlsx", "A 54655-2019")</f>
        <v/>
      </c>
      <c r="T16">
        <f>HYPERLINK("https://klasma.github.io/Logging_0687/kartor/A 54655-2019 karta.png", "A 54655-2019")</f>
        <v/>
      </c>
      <c r="V16">
        <f>HYPERLINK("https://klasma.github.io/Logging_0687/klagomål/A 54655-2019 FSC-klagomål.docx", "A 54655-2019")</f>
        <v/>
      </c>
      <c r="W16">
        <f>HYPERLINK("https://klasma.github.io/Logging_0687/klagomålsmail/A 54655-2019 FSC-klagomål mail.docx", "A 54655-2019")</f>
        <v/>
      </c>
      <c r="X16">
        <f>HYPERLINK("https://klasma.github.io/Logging_0687/tillsyn/A 54655-2019 tillsynsbegäran.docx", "A 54655-2019")</f>
        <v/>
      </c>
      <c r="Y16">
        <f>HYPERLINK("https://klasma.github.io/Logging_0687/tillsynsmail/A 54655-2019 tillsynsbegäran mail.docx", "A 54655-2019")</f>
        <v/>
      </c>
    </row>
    <row r="17" ht="15" customHeight="1">
      <c r="A17" t="inlineStr">
        <is>
          <t>A 62740-2019</t>
        </is>
      </c>
      <c r="B17" s="1" t="n">
        <v>43790</v>
      </c>
      <c r="C17" s="1" t="n">
        <v>45704</v>
      </c>
      <c r="D17" t="inlineStr">
        <is>
          <t>JÖNKÖPINGS LÄN</t>
        </is>
      </c>
      <c r="E17" t="inlineStr">
        <is>
          <t>TRANÅS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HYPERLINK("https://klasma.github.io/Logging_0687/artfynd/A 62740-2019 artfynd.xlsx", "A 62740-2019")</f>
        <v/>
      </c>
      <c r="T17">
        <f>HYPERLINK("https://klasma.github.io/Logging_0687/kartor/A 62740-2019 karta.png", "A 62740-2019")</f>
        <v/>
      </c>
      <c r="V17">
        <f>HYPERLINK("https://klasma.github.io/Logging_0687/klagomål/A 62740-2019 FSC-klagomål.docx", "A 62740-2019")</f>
        <v/>
      </c>
      <c r="W17">
        <f>HYPERLINK("https://klasma.github.io/Logging_0687/klagomålsmail/A 62740-2019 FSC-klagomål mail.docx", "A 62740-2019")</f>
        <v/>
      </c>
      <c r="X17">
        <f>HYPERLINK("https://klasma.github.io/Logging_0687/tillsyn/A 62740-2019 tillsynsbegäran.docx", "A 62740-2019")</f>
        <v/>
      </c>
      <c r="Y17">
        <f>HYPERLINK("https://klasma.github.io/Logging_0687/tillsynsmail/A 62740-2019 tillsynsbegäran mail.docx", "A 62740-2019")</f>
        <v/>
      </c>
    </row>
    <row r="18" ht="15" customHeight="1">
      <c r="A18" t="inlineStr">
        <is>
          <t>A 67740-2019</t>
        </is>
      </c>
      <c r="B18" s="1" t="n">
        <v>43809</v>
      </c>
      <c r="C18" s="1" t="n">
        <v>45704</v>
      </c>
      <c r="D18" t="inlineStr">
        <is>
          <t>JÖNKÖPINGS LÄN</t>
        </is>
      </c>
      <c r="E18" t="inlineStr">
        <is>
          <t>TRANÅS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HYPERLINK("https://klasma.github.io/Logging_0687/artfynd/A 67740-2019 artfynd.xlsx", "A 67740-2019")</f>
        <v/>
      </c>
      <c r="T18">
        <f>HYPERLINK("https://klasma.github.io/Logging_0687/kartor/A 67740-2019 karta.png", "A 67740-2019")</f>
        <v/>
      </c>
      <c r="V18">
        <f>HYPERLINK("https://klasma.github.io/Logging_0687/klagomål/A 67740-2019 FSC-klagomål.docx", "A 67740-2019")</f>
        <v/>
      </c>
      <c r="W18">
        <f>HYPERLINK("https://klasma.github.io/Logging_0687/klagomålsmail/A 67740-2019 FSC-klagomål mail.docx", "A 67740-2019")</f>
        <v/>
      </c>
      <c r="X18">
        <f>HYPERLINK("https://klasma.github.io/Logging_0687/tillsyn/A 67740-2019 tillsynsbegäran.docx", "A 67740-2019")</f>
        <v/>
      </c>
      <c r="Y18">
        <f>HYPERLINK("https://klasma.github.io/Logging_0687/tillsynsmail/A 67740-2019 tillsynsbegäran mail.docx", "A 67740-2019")</f>
        <v/>
      </c>
    </row>
    <row r="19" ht="15" customHeight="1">
      <c r="A19" t="inlineStr">
        <is>
          <t>A 67742-2019</t>
        </is>
      </c>
      <c r="B19" s="1" t="n">
        <v>43809</v>
      </c>
      <c r="C19" s="1" t="n">
        <v>45704</v>
      </c>
      <c r="D19" t="inlineStr">
        <is>
          <t>JÖNKÖPINGS LÄN</t>
        </is>
      </c>
      <c r="E19" t="inlineStr">
        <is>
          <t>TRANÅS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HYPERLINK("https://klasma.github.io/Logging_0687/artfynd/A 67742-2019 artfynd.xlsx", "A 67742-2019")</f>
        <v/>
      </c>
      <c r="T19">
        <f>HYPERLINK("https://klasma.github.io/Logging_0687/kartor/A 67742-2019 karta.png", "A 67742-2019")</f>
        <v/>
      </c>
      <c r="V19">
        <f>HYPERLINK("https://klasma.github.io/Logging_0687/klagomål/A 67742-2019 FSC-klagomål.docx", "A 67742-2019")</f>
        <v/>
      </c>
      <c r="W19">
        <f>HYPERLINK("https://klasma.github.io/Logging_0687/klagomålsmail/A 67742-2019 FSC-klagomål mail.docx", "A 67742-2019")</f>
        <v/>
      </c>
      <c r="X19">
        <f>HYPERLINK("https://klasma.github.io/Logging_0687/tillsyn/A 67742-2019 tillsynsbegäran.docx", "A 67742-2019")</f>
        <v/>
      </c>
      <c r="Y19">
        <f>HYPERLINK("https://klasma.github.io/Logging_0687/tillsynsmail/A 67742-2019 tillsynsbegäran mail.docx", "A 67742-2019")</f>
        <v/>
      </c>
    </row>
    <row r="20" ht="15" customHeight="1">
      <c r="A20" t="inlineStr">
        <is>
          <t>A 6334-2020</t>
        </is>
      </c>
      <c r="B20" s="1" t="n">
        <v>43866</v>
      </c>
      <c r="C20" s="1" t="n">
        <v>45704</v>
      </c>
      <c r="D20" t="inlineStr">
        <is>
          <t>JÖNKÖPINGS LÄN</t>
        </is>
      </c>
      <c r="E20" t="inlineStr">
        <is>
          <t>TRANÅS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HYPERLINK("https://klasma.github.io/Logging_0687/artfynd/A 6334-2020 artfynd.xlsx", "A 6334-2020")</f>
        <v/>
      </c>
      <c r="T20">
        <f>HYPERLINK("https://klasma.github.io/Logging_0687/kartor/A 6334-2020 karta.png", "A 6334-2020")</f>
        <v/>
      </c>
      <c r="V20">
        <f>HYPERLINK("https://klasma.github.io/Logging_0687/klagomål/A 6334-2020 FSC-klagomål.docx", "A 6334-2020")</f>
        <v/>
      </c>
      <c r="W20">
        <f>HYPERLINK("https://klasma.github.io/Logging_0687/klagomålsmail/A 6334-2020 FSC-klagomål mail.docx", "A 6334-2020")</f>
        <v/>
      </c>
      <c r="X20">
        <f>HYPERLINK("https://klasma.github.io/Logging_0687/tillsyn/A 6334-2020 tillsynsbegäran.docx", "A 6334-2020")</f>
        <v/>
      </c>
      <c r="Y20">
        <f>HYPERLINK("https://klasma.github.io/Logging_0687/tillsynsmail/A 6334-2020 tillsynsbegäran mail.docx", "A 6334-2020")</f>
        <v/>
      </c>
    </row>
    <row r="21" ht="15" customHeight="1">
      <c r="A21" t="inlineStr">
        <is>
          <t>A 27834-2020</t>
        </is>
      </c>
      <c r="B21" s="1" t="n">
        <v>43994</v>
      </c>
      <c r="C21" s="1" t="n">
        <v>45704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HYPERLINK("https://klasma.github.io/Logging_0687/artfynd/A 27834-2020 artfynd.xlsx", "A 27834-2020")</f>
        <v/>
      </c>
      <c r="T21">
        <f>HYPERLINK("https://klasma.github.io/Logging_0687/kartor/A 27834-2020 karta.png", "A 27834-2020")</f>
        <v/>
      </c>
      <c r="V21">
        <f>HYPERLINK("https://klasma.github.io/Logging_0687/klagomål/A 27834-2020 FSC-klagomål.docx", "A 27834-2020")</f>
        <v/>
      </c>
      <c r="W21">
        <f>HYPERLINK("https://klasma.github.io/Logging_0687/klagomålsmail/A 27834-2020 FSC-klagomål mail.docx", "A 27834-2020")</f>
        <v/>
      </c>
      <c r="X21">
        <f>HYPERLINK("https://klasma.github.io/Logging_0687/tillsyn/A 27834-2020 tillsynsbegäran.docx", "A 27834-2020")</f>
        <v/>
      </c>
      <c r="Y21">
        <f>HYPERLINK("https://klasma.github.io/Logging_0687/tillsynsmail/A 27834-2020 tillsynsbegäran mail.docx", "A 27834-2020")</f>
        <v/>
      </c>
    </row>
    <row r="22" ht="15" customHeight="1">
      <c r="A22" t="inlineStr">
        <is>
          <t>A 51215-2020</t>
        </is>
      </c>
      <c r="B22" s="1" t="n">
        <v>44112</v>
      </c>
      <c r="C22" s="1" t="n">
        <v>45704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Storkorgsfibbla</t>
        </is>
      </c>
      <c r="S22">
        <f>HYPERLINK("https://klasma.github.io/Logging_0687/artfynd/A 51215-2020 artfynd.xlsx", "A 51215-2020")</f>
        <v/>
      </c>
      <c r="T22">
        <f>HYPERLINK("https://klasma.github.io/Logging_0687/kartor/A 51215-2020 karta.png", "A 51215-2020")</f>
        <v/>
      </c>
      <c r="V22">
        <f>HYPERLINK("https://klasma.github.io/Logging_0687/klagomål/A 51215-2020 FSC-klagomål.docx", "A 51215-2020")</f>
        <v/>
      </c>
      <c r="W22">
        <f>HYPERLINK("https://klasma.github.io/Logging_0687/klagomålsmail/A 51215-2020 FSC-klagomål mail.docx", "A 51215-2020")</f>
        <v/>
      </c>
      <c r="X22">
        <f>HYPERLINK("https://klasma.github.io/Logging_0687/tillsyn/A 51215-2020 tillsynsbegäran.docx", "A 51215-2020")</f>
        <v/>
      </c>
      <c r="Y22">
        <f>HYPERLINK("https://klasma.github.io/Logging_0687/tillsynsmail/A 51215-2020 tillsynsbegäran mail.docx", "A 51215-2020")</f>
        <v/>
      </c>
    </row>
    <row r="23" ht="15" customHeight="1">
      <c r="A23" t="inlineStr">
        <is>
          <t>A 60658-2020</t>
        </is>
      </c>
      <c r="B23" s="1" t="n">
        <v>44153</v>
      </c>
      <c r="C23" s="1" t="n">
        <v>45704</v>
      </c>
      <c r="D23" t="inlineStr">
        <is>
          <t>JÖNKÖPINGS LÄN</t>
        </is>
      </c>
      <c r="E23" t="inlineStr">
        <is>
          <t>TRANÅS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HYPERLINK("https://klasma.github.io/Logging_0687/artfynd/A 60658-2020 artfynd.xlsx", "A 60658-2020")</f>
        <v/>
      </c>
      <c r="T23">
        <f>HYPERLINK("https://klasma.github.io/Logging_0687/kartor/A 60658-2020 karta.png", "A 60658-2020")</f>
        <v/>
      </c>
      <c r="V23">
        <f>HYPERLINK("https://klasma.github.io/Logging_0687/klagomål/A 60658-2020 FSC-klagomål.docx", "A 60658-2020")</f>
        <v/>
      </c>
      <c r="W23">
        <f>HYPERLINK("https://klasma.github.io/Logging_0687/klagomålsmail/A 60658-2020 FSC-klagomål mail.docx", "A 60658-2020")</f>
        <v/>
      </c>
      <c r="X23">
        <f>HYPERLINK("https://klasma.github.io/Logging_0687/tillsyn/A 60658-2020 tillsynsbegäran.docx", "A 60658-2020")</f>
        <v/>
      </c>
      <c r="Y23">
        <f>HYPERLINK("https://klasma.github.io/Logging_0687/tillsynsmail/A 60658-2020 tillsynsbegäran mail.docx", "A 60658-2020")</f>
        <v/>
      </c>
    </row>
    <row r="24" ht="15" customHeight="1">
      <c r="A24" t="inlineStr">
        <is>
          <t>A 7365-2021</t>
        </is>
      </c>
      <c r="B24" s="1" t="n">
        <v>44239</v>
      </c>
      <c r="C24" s="1" t="n">
        <v>45704</v>
      </c>
      <c r="D24" t="inlineStr">
        <is>
          <t>JÖNKÖPINGS LÄN</t>
        </is>
      </c>
      <c r="E24" t="inlineStr">
        <is>
          <t>TRANÅS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HYPERLINK("https://klasma.github.io/Logging_0687/artfynd/A 7365-2021 artfynd.xlsx", "A 7365-2021")</f>
        <v/>
      </c>
      <c r="T24">
        <f>HYPERLINK("https://klasma.github.io/Logging_0687/kartor/A 7365-2021 karta.png", "A 7365-2021")</f>
        <v/>
      </c>
      <c r="V24">
        <f>HYPERLINK("https://klasma.github.io/Logging_0687/klagomål/A 7365-2021 FSC-klagomål.docx", "A 7365-2021")</f>
        <v/>
      </c>
      <c r="W24">
        <f>HYPERLINK("https://klasma.github.io/Logging_0687/klagomålsmail/A 7365-2021 FSC-klagomål mail.docx", "A 7365-2021")</f>
        <v/>
      </c>
      <c r="X24">
        <f>HYPERLINK("https://klasma.github.io/Logging_0687/tillsyn/A 7365-2021 tillsynsbegäran.docx", "A 7365-2021")</f>
        <v/>
      </c>
      <c r="Y24">
        <f>HYPERLINK("https://klasma.github.io/Logging_0687/tillsynsmail/A 7365-2021 tillsynsbegäran mail.docx", "A 7365-2021")</f>
        <v/>
      </c>
    </row>
    <row r="25" ht="15" customHeight="1">
      <c r="A25" t="inlineStr">
        <is>
          <t>A 11278-2021</t>
        </is>
      </c>
      <c r="B25" s="1" t="n">
        <v>44262</v>
      </c>
      <c r="C25" s="1" t="n">
        <v>45704</v>
      </c>
      <c r="D25" t="inlineStr">
        <is>
          <t>JÖNKÖPINGS LÄN</t>
        </is>
      </c>
      <c r="E25" t="inlineStr">
        <is>
          <t>TRANÅS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HYPERLINK("https://klasma.github.io/Logging_0687/artfynd/A 11278-2021 artfynd.xlsx", "A 11278-2021")</f>
        <v/>
      </c>
      <c r="T25">
        <f>HYPERLINK("https://klasma.github.io/Logging_0687/kartor/A 11278-2021 karta.png", "A 11278-2021")</f>
        <v/>
      </c>
      <c r="V25">
        <f>HYPERLINK("https://klasma.github.io/Logging_0687/klagomål/A 11278-2021 FSC-klagomål.docx", "A 11278-2021")</f>
        <v/>
      </c>
      <c r="W25">
        <f>HYPERLINK("https://klasma.github.io/Logging_0687/klagomålsmail/A 11278-2021 FSC-klagomål mail.docx", "A 11278-2021")</f>
        <v/>
      </c>
      <c r="X25">
        <f>HYPERLINK("https://klasma.github.io/Logging_0687/tillsyn/A 11278-2021 tillsynsbegäran.docx", "A 11278-2021")</f>
        <v/>
      </c>
      <c r="Y25">
        <f>HYPERLINK("https://klasma.github.io/Logging_0687/tillsynsmail/A 11278-2021 tillsynsbegäran mail.docx", "A 11278-2021")</f>
        <v/>
      </c>
    </row>
    <row r="26" ht="15" customHeight="1">
      <c r="A26" t="inlineStr">
        <is>
          <t>A 26395-2022</t>
        </is>
      </c>
      <c r="B26" s="1" t="n">
        <v>44735</v>
      </c>
      <c r="C26" s="1" t="n">
        <v>45704</v>
      </c>
      <c r="D26" t="inlineStr">
        <is>
          <t>JÖNKÖPINGS LÄN</t>
        </is>
      </c>
      <c r="E26" t="inlineStr">
        <is>
          <t>TRANÅS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Ängsnycklar</t>
        </is>
      </c>
      <c r="S26">
        <f>HYPERLINK("https://klasma.github.io/Logging_0687/artfynd/A 26395-2022 artfynd.xlsx", "A 26395-2022")</f>
        <v/>
      </c>
      <c r="T26">
        <f>HYPERLINK("https://klasma.github.io/Logging_0687/kartor/A 26395-2022 karta.png", "A 26395-2022")</f>
        <v/>
      </c>
      <c r="V26">
        <f>HYPERLINK("https://klasma.github.io/Logging_0687/klagomål/A 26395-2022 FSC-klagomål.docx", "A 26395-2022")</f>
        <v/>
      </c>
      <c r="W26">
        <f>HYPERLINK("https://klasma.github.io/Logging_0687/klagomålsmail/A 26395-2022 FSC-klagomål mail.docx", "A 26395-2022")</f>
        <v/>
      </c>
      <c r="X26">
        <f>HYPERLINK("https://klasma.github.io/Logging_0687/tillsyn/A 26395-2022 tillsynsbegäran.docx", "A 26395-2022")</f>
        <v/>
      </c>
      <c r="Y26">
        <f>HYPERLINK("https://klasma.github.io/Logging_0687/tillsynsmail/A 26395-2022 tillsynsbegäran mail.docx", "A 26395-2022")</f>
        <v/>
      </c>
    </row>
    <row r="27" ht="15" customHeight="1">
      <c r="A27" t="inlineStr">
        <is>
          <t>A 29382-2022</t>
        </is>
      </c>
      <c r="B27" s="1" t="n">
        <v>44753</v>
      </c>
      <c r="C27" s="1" t="n">
        <v>45704</v>
      </c>
      <c r="D27" t="inlineStr">
        <is>
          <t>JÖNKÖPINGS LÄN</t>
        </is>
      </c>
      <c r="E27" t="inlineStr">
        <is>
          <t>TRANÅS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HYPERLINK("https://klasma.github.io/Logging_0687/artfynd/A 29382-2022 artfynd.xlsx", "A 29382-2022")</f>
        <v/>
      </c>
      <c r="T27">
        <f>HYPERLINK("https://klasma.github.io/Logging_0687/kartor/A 29382-2022 karta.png", "A 29382-2022")</f>
        <v/>
      </c>
      <c r="V27">
        <f>HYPERLINK("https://klasma.github.io/Logging_0687/klagomål/A 29382-2022 FSC-klagomål.docx", "A 29382-2022")</f>
        <v/>
      </c>
      <c r="W27">
        <f>HYPERLINK("https://klasma.github.io/Logging_0687/klagomålsmail/A 29382-2022 FSC-klagomål mail.docx", "A 29382-2022")</f>
        <v/>
      </c>
      <c r="X27">
        <f>HYPERLINK("https://klasma.github.io/Logging_0687/tillsyn/A 29382-2022 tillsynsbegäran.docx", "A 29382-2022")</f>
        <v/>
      </c>
      <c r="Y27">
        <f>HYPERLINK("https://klasma.github.io/Logging_0687/tillsynsmail/A 29382-2022 tillsynsbegäran mail.docx", "A 29382-2022")</f>
        <v/>
      </c>
    </row>
    <row r="28" ht="15" customHeight="1">
      <c r="A28" t="inlineStr">
        <is>
          <t>A 12437-2023</t>
        </is>
      </c>
      <c r="B28" s="1" t="n">
        <v>44998</v>
      </c>
      <c r="C28" s="1" t="n">
        <v>45704</v>
      </c>
      <c r="D28" t="inlineStr">
        <is>
          <t>JÖNKÖPINGS LÄN</t>
        </is>
      </c>
      <c r="E28" t="inlineStr">
        <is>
          <t>TRANÅS</t>
        </is>
      </c>
      <c r="G28" t="n">
        <v>10.5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Skogsbräsma</t>
        </is>
      </c>
      <c r="S28">
        <f>HYPERLINK("https://klasma.github.io/Logging_0687/artfynd/A 12437-2023 artfynd.xlsx", "A 12437-2023")</f>
        <v/>
      </c>
      <c r="T28">
        <f>HYPERLINK("https://klasma.github.io/Logging_0687/kartor/A 12437-2023 karta.png", "A 12437-2023")</f>
        <v/>
      </c>
      <c r="V28">
        <f>HYPERLINK("https://klasma.github.io/Logging_0687/klagomål/A 12437-2023 FSC-klagomål.docx", "A 12437-2023")</f>
        <v/>
      </c>
      <c r="W28">
        <f>HYPERLINK("https://klasma.github.io/Logging_0687/klagomålsmail/A 12437-2023 FSC-klagomål mail.docx", "A 12437-2023")</f>
        <v/>
      </c>
      <c r="X28">
        <f>HYPERLINK("https://klasma.github.io/Logging_0687/tillsyn/A 12437-2023 tillsynsbegäran.docx", "A 12437-2023")</f>
        <v/>
      </c>
      <c r="Y28">
        <f>HYPERLINK("https://klasma.github.io/Logging_0687/tillsynsmail/A 12437-2023 tillsynsbegäran mail.docx", "A 12437-2023")</f>
        <v/>
      </c>
    </row>
    <row r="29" ht="15" customHeight="1">
      <c r="A29" t="inlineStr">
        <is>
          <t>A 60263-2023</t>
        </is>
      </c>
      <c r="B29" s="1" t="n">
        <v>45258</v>
      </c>
      <c r="C29" s="1" t="n">
        <v>45704</v>
      </c>
      <c r="D29" t="inlineStr">
        <is>
          <t>JÖNKÖPINGS LÄN</t>
        </is>
      </c>
      <c r="E29" t="inlineStr">
        <is>
          <t>TRANÅS</t>
        </is>
      </c>
      <c r="F29" t="inlineStr">
        <is>
          <t>Kommuner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HYPERLINK("https://klasma.github.io/Logging_0687/artfynd/A 60263-2023 artfynd.xlsx", "A 60263-2023")</f>
        <v/>
      </c>
      <c r="T29">
        <f>HYPERLINK("https://klasma.github.io/Logging_0687/kartor/A 60263-2023 karta.png", "A 60263-2023")</f>
        <v/>
      </c>
      <c r="V29">
        <f>HYPERLINK("https://klasma.github.io/Logging_0687/klagomål/A 60263-2023 FSC-klagomål.docx", "A 60263-2023")</f>
        <v/>
      </c>
      <c r="W29">
        <f>HYPERLINK("https://klasma.github.io/Logging_0687/klagomålsmail/A 60263-2023 FSC-klagomål mail.docx", "A 60263-2023")</f>
        <v/>
      </c>
      <c r="X29">
        <f>HYPERLINK("https://klasma.github.io/Logging_0687/tillsyn/A 60263-2023 tillsynsbegäran.docx", "A 60263-2023")</f>
        <v/>
      </c>
      <c r="Y29">
        <f>HYPERLINK("https://klasma.github.io/Logging_0687/tillsynsmail/A 60263-2023 tillsynsbegäran mail.docx", "A 60263-2023")</f>
        <v/>
      </c>
    </row>
    <row r="30" ht="15" customHeight="1">
      <c r="A30" t="inlineStr">
        <is>
          <t>A 1720-2024</t>
        </is>
      </c>
      <c r="B30" s="1" t="n">
        <v>45307</v>
      </c>
      <c r="C30" s="1" t="n">
        <v>45704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HYPERLINK("https://klasma.github.io/Logging_0687/artfynd/A 1720-2024 artfynd.xlsx", "A 1720-2024")</f>
        <v/>
      </c>
      <c r="T30">
        <f>HYPERLINK("https://klasma.github.io/Logging_0687/kartor/A 1720-2024 karta.png", "A 1720-2024")</f>
        <v/>
      </c>
      <c r="V30">
        <f>HYPERLINK("https://klasma.github.io/Logging_0687/klagomål/A 1720-2024 FSC-klagomål.docx", "A 1720-2024")</f>
        <v/>
      </c>
      <c r="W30">
        <f>HYPERLINK("https://klasma.github.io/Logging_0687/klagomålsmail/A 1720-2024 FSC-klagomål mail.docx", "A 1720-2024")</f>
        <v/>
      </c>
      <c r="X30">
        <f>HYPERLINK("https://klasma.github.io/Logging_0687/tillsyn/A 1720-2024 tillsynsbegäran.docx", "A 1720-2024")</f>
        <v/>
      </c>
      <c r="Y30">
        <f>HYPERLINK("https://klasma.github.io/Logging_0687/tillsynsmail/A 1720-2024 tillsynsbegäran mail.docx", "A 1720-2024")</f>
        <v/>
      </c>
    </row>
    <row r="31" ht="15" customHeight="1">
      <c r="A31" t="inlineStr">
        <is>
          <t>A 20822-2024</t>
        </is>
      </c>
      <c r="B31" s="1" t="n">
        <v>45439</v>
      </c>
      <c r="C31" s="1" t="n">
        <v>45704</v>
      </c>
      <c r="D31" t="inlineStr">
        <is>
          <t>JÖNKÖPINGS LÄN</t>
        </is>
      </c>
      <c r="E31" t="inlineStr">
        <is>
          <t>TRANÅS</t>
        </is>
      </c>
      <c r="G31" t="n">
        <v>4.7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HYPERLINK("https://klasma.github.io/Logging_0687/artfynd/A 20822-2024 artfynd.xlsx", "A 20822-2024")</f>
        <v/>
      </c>
      <c r="T31">
        <f>HYPERLINK("https://klasma.github.io/Logging_0687/kartor/A 20822-2024 karta.png", "A 20822-2024")</f>
        <v/>
      </c>
      <c r="V31">
        <f>HYPERLINK("https://klasma.github.io/Logging_0687/klagomål/A 20822-2024 FSC-klagomål.docx", "A 20822-2024")</f>
        <v/>
      </c>
      <c r="W31">
        <f>HYPERLINK("https://klasma.github.io/Logging_0687/klagomålsmail/A 20822-2024 FSC-klagomål mail.docx", "A 20822-2024")</f>
        <v/>
      </c>
      <c r="X31">
        <f>HYPERLINK("https://klasma.github.io/Logging_0687/tillsyn/A 20822-2024 tillsynsbegäran.docx", "A 20822-2024")</f>
        <v/>
      </c>
      <c r="Y31">
        <f>HYPERLINK("https://klasma.github.io/Logging_0687/tillsynsmail/A 20822-2024 tillsynsbegäran mail.docx", "A 20822-2024")</f>
        <v/>
      </c>
    </row>
    <row r="32" ht="15" customHeight="1">
      <c r="A32" t="inlineStr">
        <is>
          <t>A 21531-2024</t>
        </is>
      </c>
      <c r="B32" s="1" t="n">
        <v>45441</v>
      </c>
      <c r="C32" s="1" t="n">
        <v>45704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HYPERLINK("https://klasma.github.io/Logging_0687/artfynd/A 21531-2024 artfynd.xlsx", "A 21531-2024")</f>
        <v/>
      </c>
      <c r="T32">
        <f>HYPERLINK("https://klasma.github.io/Logging_0687/kartor/A 21531-2024 karta.png", "A 21531-2024")</f>
        <v/>
      </c>
      <c r="V32">
        <f>HYPERLINK("https://klasma.github.io/Logging_0687/klagomål/A 21531-2024 FSC-klagomål.docx", "A 21531-2024")</f>
        <v/>
      </c>
      <c r="W32">
        <f>HYPERLINK("https://klasma.github.io/Logging_0687/klagomålsmail/A 21531-2024 FSC-klagomål mail.docx", "A 21531-2024")</f>
        <v/>
      </c>
      <c r="X32">
        <f>HYPERLINK("https://klasma.github.io/Logging_0687/tillsyn/A 21531-2024 tillsynsbegäran.docx", "A 21531-2024")</f>
        <v/>
      </c>
      <c r="Y32">
        <f>HYPERLINK("https://klasma.github.io/Logging_0687/tillsynsmail/A 21531-2024 tillsynsbegäran mail.docx", "A 21531-2024")</f>
        <v/>
      </c>
    </row>
    <row r="33" ht="15" customHeight="1">
      <c r="A33" t="inlineStr">
        <is>
          <t>A 31857-2024</t>
        </is>
      </c>
      <c r="B33" s="1" t="n">
        <v>45509</v>
      </c>
      <c r="C33" s="1" t="n">
        <v>45704</v>
      </c>
      <c r="D33" t="inlineStr">
        <is>
          <t>JÖNKÖPINGS LÄN</t>
        </is>
      </c>
      <c r="E33" t="inlineStr">
        <is>
          <t>TRANÅS</t>
        </is>
      </c>
      <c r="F33" t="inlineStr">
        <is>
          <t>Kommuner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HYPERLINK("https://klasma.github.io/Logging_0687/artfynd/A 31857-2024 artfynd.xlsx", "A 31857-2024")</f>
        <v/>
      </c>
      <c r="T33">
        <f>HYPERLINK("https://klasma.github.io/Logging_0687/kartor/A 31857-2024 karta.png", "A 31857-2024")</f>
        <v/>
      </c>
      <c r="V33">
        <f>HYPERLINK("https://klasma.github.io/Logging_0687/klagomål/A 31857-2024 FSC-klagomål.docx", "A 31857-2024")</f>
        <v/>
      </c>
      <c r="W33">
        <f>HYPERLINK("https://klasma.github.io/Logging_0687/klagomålsmail/A 31857-2024 FSC-klagomål mail.docx", "A 31857-2024")</f>
        <v/>
      </c>
      <c r="X33">
        <f>HYPERLINK("https://klasma.github.io/Logging_0687/tillsyn/A 31857-2024 tillsynsbegäran.docx", "A 31857-2024")</f>
        <v/>
      </c>
      <c r="Y33">
        <f>HYPERLINK("https://klasma.github.io/Logging_0687/tillsynsmail/A 31857-2024 tillsynsbegäran mail.docx", "A 31857-2024")</f>
        <v/>
      </c>
    </row>
    <row r="34" ht="15" customHeight="1">
      <c r="A34" t="inlineStr">
        <is>
          <t>A 17769-2019</t>
        </is>
      </c>
      <c r="B34" s="1" t="n">
        <v>43556</v>
      </c>
      <c r="C34" s="1" t="n">
        <v>45704</v>
      </c>
      <c r="D34" t="inlineStr">
        <is>
          <t>JÖNKÖPINGS LÄN</t>
        </is>
      </c>
      <c r="E34" t="inlineStr">
        <is>
          <t>TRANÅS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19113-2019</t>
        </is>
      </c>
      <c r="B35" s="1" t="n">
        <v>43563</v>
      </c>
      <c r="C35" s="1" t="n">
        <v>45704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19090-2019</t>
        </is>
      </c>
      <c r="B36" s="1" t="n">
        <v>43564</v>
      </c>
      <c r="C36" s="1" t="n">
        <v>45704</v>
      </c>
      <c r="D36" t="inlineStr">
        <is>
          <t>JÖNKÖPINGS LÄN</t>
        </is>
      </c>
      <c r="E36" t="inlineStr">
        <is>
          <t>TRANÅS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19481-2019</t>
        </is>
      </c>
      <c r="B37" s="1" t="n">
        <v>43565</v>
      </c>
      <c r="C37" s="1" t="n">
        <v>45704</v>
      </c>
      <c r="D37" t="inlineStr">
        <is>
          <t>JÖNKÖPINGS LÄN</t>
        </is>
      </c>
      <c r="E37" t="inlineStr">
        <is>
          <t>TRANÅS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19471-2019</t>
        </is>
      </c>
      <c r="B38" s="1" t="n">
        <v>43565</v>
      </c>
      <c r="C38" s="1" t="n">
        <v>45704</v>
      </c>
      <c r="D38" t="inlineStr">
        <is>
          <t>JÖNKÖPINGS LÄN</t>
        </is>
      </c>
      <c r="E38" t="inlineStr">
        <is>
          <t>TRANÅS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21436-2019</t>
        </is>
      </c>
      <c r="B39" s="1" t="n">
        <v>43580</v>
      </c>
      <c r="C39" s="1" t="n">
        <v>45704</v>
      </c>
      <c r="D39" t="inlineStr">
        <is>
          <t>JÖNKÖPINGS LÄN</t>
        </is>
      </c>
      <c r="E39" t="inlineStr">
        <is>
          <t>TRANÅS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21483-2019</t>
        </is>
      </c>
      <c r="B40" s="1" t="n">
        <v>43580</v>
      </c>
      <c r="C40" s="1" t="n">
        <v>45704</v>
      </c>
      <c r="D40" t="inlineStr">
        <is>
          <t>JÖNKÖPINGS LÄN</t>
        </is>
      </c>
      <c r="E40" t="inlineStr">
        <is>
          <t>TRANÅS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21490-2019</t>
        </is>
      </c>
      <c r="B41" s="1" t="n">
        <v>43580</v>
      </c>
      <c r="C41" s="1" t="n">
        <v>45704</v>
      </c>
      <c r="D41" t="inlineStr">
        <is>
          <t>JÖNKÖPINGS LÄN</t>
        </is>
      </c>
      <c r="E41" t="inlineStr">
        <is>
          <t>TRANÅS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21514-2019</t>
        </is>
      </c>
      <c r="B42" s="1" t="n">
        <v>43580</v>
      </c>
      <c r="C42" s="1" t="n">
        <v>45704</v>
      </c>
      <c r="D42" t="inlineStr">
        <is>
          <t>JÖNKÖPINGS LÄN</t>
        </is>
      </c>
      <c r="E42" t="inlineStr">
        <is>
          <t>TRANÅS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21470-2019</t>
        </is>
      </c>
      <c r="B43" s="1" t="n">
        <v>43580</v>
      </c>
      <c r="C43" s="1" t="n">
        <v>45704</v>
      </c>
      <c r="D43" t="inlineStr">
        <is>
          <t>JÖNKÖPINGS LÄN</t>
        </is>
      </c>
      <c r="E43" t="inlineStr">
        <is>
          <t>TRANÅS</t>
        </is>
      </c>
      <c r="G43" t="n">
        <v>14.6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21474-2019</t>
        </is>
      </c>
      <c r="B44" s="1" t="n">
        <v>43580</v>
      </c>
      <c r="C44" s="1" t="n">
        <v>45704</v>
      </c>
      <c r="D44" t="inlineStr">
        <is>
          <t>JÖNKÖPINGS LÄN</t>
        </is>
      </c>
      <c r="E44" t="inlineStr">
        <is>
          <t>TRANÅS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21385-2019</t>
        </is>
      </c>
      <c r="B45" s="1" t="n">
        <v>43580</v>
      </c>
      <c r="C45" s="1" t="n">
        <v>45704</v>
      </c>
      <c r="D45" t="inlineStr">
        <is>
          <t>JÖNKÖPINGS LÄN</t>
        </is>
      </c>
      <c r="E45" t="inlineStr">
        <is>
          <t>TRANÅS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21482-2019</t>
        </is>
      </c>
      <c r="B46" s="1" t="n">
        <v>43580</v>
      </c>
      <c r="C46" s="1" t="n">
        <v>45704</v>
      </c>
      <c r="D46" t="inlineStr">
        <is>
          <t>JÖNKÖPINGS LÄN</t>
        </is>
      </c>
      <c r="E46" t="inlineStr">
        <is>
          <t>TRANÅS</t>
        </is>
      </c>
      <c r="G46" t="n">
        <v>11.7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24206-2019</t>
        </is>
      </c>
      <c r="B47" s="1" t="n">
        <v>43598</v>
      </c>
      <c r="C47" s="1" t="n">
        <v>45704</v>
      </c>
      <c r="D47" t="inlineStr">
        <is>
          <t>JÖNKÖPINGS LÄN</t>
        </is>
      </c>
      <c r="E47" t="inlineStr">
        <is>
          <t>TRANÅS</t>
        </is>
      </c>
      <c r="G47" t="n">
        <v>9.699999999999999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24597-2019</t>
        </is>
      </c>
      <c r="B48" s="1" t="n">
        <v>43600</v>
      </c>
      <c r="C48" s="1" t="n">
        <v>45704</v>
      </c>
      <c r="D48" t="inlineStr">
        <is>
          <t>JÖNKÖPINGS LÄN</t>
        </is>
      </c>
      <c r="E48" t="inlineStr">
        <is>
          <t>TRANÅS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27551-2019</t>
        </is>
      </c>
      <c r="B49" s="1" t="n">
        <v>43619</v>
      </c>
      <c r="C49" s="1" t="n">
        <v>45704</v>
      </c>
      <c r="D49" t="inlineStr">
        <is>
          <t>JÖNKÖPINGS LÄN</t>
        </is>
      </c>
      <c r="E49" t="inlineStr">
        <is>
          <t>TRANÅS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27963-2019</t>
        </is>
      </c>
      <c r="B50" s="1" t="n">
        <v>43620</v>
      </c>
      <c r="C50" s="1" t="n">
        <v>45704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27958-2019</t>
        </is>
      </c>
      <c r="B51" s="1" t="n">
        <v>43620</v>
      </c>
      <c r="C51" s="1" t="n">
        <v>45704</v>
      </c>
      <c r="D51" t="inlineStr">
        <is>
          <t>JÖNKÖPINGS LÄN</t>
        </is>
      </c>
      <c r="E51" t="inlineStr">
        <is>
          <t>TRANÅS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29990-2019</t>
        </is>
      </c>
      <c r="B52" s="1" t="n">
        <v>43633</v>
      </c>
      <c r="C52" s="1" t="n">
        <v>45704</v>
      </c>
      <c r="D52" t="inlineStr">
        <is>
          <t>JÖNKÖPINGS LÄN</t>
        </is>
      </c>
      <c r="E52" t="inlineStr">
        <is>
          <t>TRANÅS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45704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45704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45704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45704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45704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45704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45704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45704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45704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45704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45704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45704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45704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45704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45704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45704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45704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45704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45704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45704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45704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45704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45704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45704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45704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45704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45704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45704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45704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45704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45704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45704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45704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45704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45704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45704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45704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45704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45704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45704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45704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45704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45704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45704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45704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45704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45704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45704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45704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45704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45704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45704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45704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45704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45704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45704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45704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45704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45704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45704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45704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45704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45704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45704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45704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45704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45704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45704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45704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45704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45704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45704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45704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45704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45704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45704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45704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45704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45704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45704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45704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45704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45704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45704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45704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45704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45704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45704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45704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45704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45704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45704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45704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45704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45704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45704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45704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45704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45704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45704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45704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45704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45704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45704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45704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45704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45704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45704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45704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45704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45704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45704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45704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45704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45704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45704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45704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45704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45704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45704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45704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45704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45704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45704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45704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45704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45704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45704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45704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45704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45704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45704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45704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45704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45704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45704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45704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45704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45704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45704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45704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45704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45704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45704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45704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45704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45704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45704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45704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45704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45704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45704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45704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45704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45704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45704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45704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45704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45704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45704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45704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45704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45704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45704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45704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45704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45704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45704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45704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45704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45704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45704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45704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45704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45704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45704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45704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45704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45704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45704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45704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45704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45704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45704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45704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45704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45704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45704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45704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45704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45704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45704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45704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45704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45704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45704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45704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45704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45704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45704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45704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45704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45704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45704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45704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45704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45704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45704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45704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45704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45704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45704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45704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45704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45704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45704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45704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45704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45704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45704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45704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45704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45704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45704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45704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45704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45704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45704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45704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45704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45704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45704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45704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45704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45704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45704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45704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45704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45704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45704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45704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45704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45704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45704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45704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45704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45704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45704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45704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45704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45704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45704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45704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45704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45704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45704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45704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45704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45704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45704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45704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45704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45704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45704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45704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45704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45704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45704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45704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45704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45704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45704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45704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45704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45704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45704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45704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45704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45704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45704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45704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45704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45704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45704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45704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45704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45704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45704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45704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45704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45704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45704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45704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45704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45704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45704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45704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45704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45704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45704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45704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45704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45704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45704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45704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45704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45704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45704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45704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45704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45704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45704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45704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45704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45704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45704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45704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45704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45704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45704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45704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45704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45704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45704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45704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45704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45704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45704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45704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45704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45704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45704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45704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45704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45704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45704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45704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45704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45704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45704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45704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45704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45704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45704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45704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45704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45704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45704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45704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45704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45704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45704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45704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45704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45704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45704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45704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45704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45704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45704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45704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45704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45704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45704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45704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45704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45704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45704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45704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45704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45704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45704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45704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45704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45704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45704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45704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45704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45704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45704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45704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45704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45704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45704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45704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45704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45704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45704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45704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45704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45704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45704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45704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45704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45704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45704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45704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45704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45704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45704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45704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45704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45704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45704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45704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45704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45704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45704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45704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45704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45704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45704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45704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45704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45704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45704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45704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45704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45704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45704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45704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45704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45704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45704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45704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45704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45704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45704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45704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45704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45704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45704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45704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45704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45704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45704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45704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45704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45704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45704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45704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45704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45704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45704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45704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45704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45704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45704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45704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45704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45704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45704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45704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45704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54466-2024</t>
        </is>
      </c>
      <c r="B507" s="1" t="n">
        <v>45617</v>
      </c>
      <c r="C507" s="1" t="n">
        <v>45704</v>
      </c>
      <c r="D507" t="inlineStr">
        <is>
          <t>JÖNKÖPINGS LÄN</t>
        </is>
      </c>
      <c r="E507" t="inlineStr">
        <is>
          <t>TRANÅS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54471-2024</t>
        </is>
      </c>
      <c r="B508" s="1" t="n">
        <v>45617</v>
      </c>
      <c r="C508" s="1" t="n">
        <v>45704</v>
      </c>
      <c r="D508" t="inlineStr">
        <is>
          <t>JÖNKÖPINGS LÄN</t>
        </is>
      </c>
      <c r="E508" t="inlineStr">
        <is>
          <t>TRANÅS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54475-2024</t>
        </is>
      </c>
      <c r="B509" s="1" t="n">
        <v>45617</v>
      </c>
      <c r="C509" s="1" t="n">
        <v>45704</v>
      </c>
      <c r="D509" t="inlineStr">
        <is>
          <t>JÖNKÖPINGS LÄN</t>
        </is>
      </c>
      <c r="E509" t="inlineStr">
        <is>
          <t>TRANÅS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54473-2024</t>
        </is>
      </c>
      <c r="B510" s="1" t="n">
        <v>45617</v>
      </c>
      <c r="C510" s="1" t="n">
        <v>45704</v>
      </c>
      <c r="D510" t="inlineStr">
        <is>
          <t>JÖNKÖPINGS LÄN</t>
        </is>
      </c>
      <c r="E510" t="inlineStr">
        <is>
          <t>TRANÅS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45704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45704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56875-2024</t>
        </is>
      </c>
      <c r="B513" s="1" t="n">
        <v>45628</v>
      </c>
      <c r="C513" s="1" t="n">
        <v>45704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57679-2024</t>
        </is>
      </c>
      <c r="B514" s="1" t="n">
        <v>45630</v>
      </c>
      <c r="C514" s="1" t="n">
        <v>45704</v>
      </c>
      <c r="D514" t="inlineStr">
        <is>
          <t>JÖNKÖPINGS LÄN</t>
        </is>
      </c>
      <c r="E514" t="inlineStr">
        <is>
          <t>TRANÅS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57983-2024</t>
        </is>
      </c>
      <c r="B515" s="1" t="n">
        <v>45631</v>
      </c>
      <c r="C515" s="1" t="n">
        <v>45704</v>
      </c>
      <c r="D515" t="inlineStr">
        <is>
          <t>JÖNKÖPINGS LÄN</t>
        </is>
      </c>
      <c r="E515" t="inlineStr">
        <is>
          <t>TRANÅS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58229-2024</t>
        </is>
      </c>
      <c r="B516" s="1" t="n">
        <v>45632</v>
      </c>
      <c r="C516" s="1" t="n">
        <v>45704</v>
      </c>
      <c r="D516" t="inlineStr">
        <is>
          <t>JÖNKÖPINGS LÄN</t>
        </is>
      </c>
      <c r="E516" t="inlineStr">
        <is>
          <t>TRANÅS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58448-2024</t>
        </is>
      </c>
      <c r="B517" s="1" t="n">
        <v>45635</v>
      </c>
      <c r="C517" s="1" t="n">
        <v>45704</v>
      </c>
      <c r="D517" t="inlineStr">
        <is>
          <t>JÖNKÖPINGS LÄN</t>
        </is>
      </c>
      <c r="E517" t="inlineStr">
        <is>
          <t>TRANÅS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59173-2024</t>
        </is>
      </c>
      <c r="B518" s="1" t="n">
        <v>45637</v>
      </c>
      <c r="C518" s="1" t="n">
        <v>45704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59171-2024</t>
        </is>
      </c>
      <c r="B519" s="1" t="n">
        <v>45637</v>
      </c>
      <c r="C519" s="1" t="n">
        <v>45704</v>
      </c>
      <c r="D519" t="inlineStr">
        <is>
          <t>JÖNKÖPINGS LÄN</t>
        </is>
      </c>
      <c r="E519" t="inlineStr">
        <is>
          <t>TRANÅS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59507-2024</t>
        </is>
      </c>
      <c r="B520" s="1" t="n">
        <v>45638</v>
      </c>
      <c r="C520" s="1" t="n">
        <v>45704</v>
      </c>
      <c r="D520" t="inlineStr">
        <is>
          <t>JÖNKÖPINGS LÄN</t>
        </is>
      </c>
      <c r="E520" t="inlineStr">
        <is>
          <t>TRANÅS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59499-2024</t>
        </is>
      </c>
      <c r="B521" s="1" t="n">
        <v>45638</v>
      </c>
      <c r="C521" s="1" t="n">
        <v>45704</v>
      </c>
      <c r="D521" t="inlineStr">
        <is>
          <t>JÖNKÖPINGS LÄN</t>
        </is>
      </c>
      <c r="E521" t="inlineStr">
        <is>
          <t>TRANÅS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60184-2024</t>
        </is>
      </c>
      <c r="B522" s="1" t="n">
        <v>45639</v>
      </c>
      <c r="C522" s="1" t="n">
        <v>45704</v>
      </c>
      <c r="D522" t="inlineStr">
        <is>
          <t>JÖNKÖPINGS LÄN</t>
        </is>
      </c>
      <c r="E522" t="inlineStr">
        <is>
          <t>TRANÅS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60437-2024</t>
        </is>
      </c>
      <c r="B523" s="1" t="n">
        <v>45643</v>
      </c>
      <c r="C523" s="1" t="n">
        <v>45704</v>
      </c>
      <c r="D523" t="inlineStr">
        <is>
          <t>JÖNKÖPINGS LÄN</t>
        </is>
      </c>
      <c r="E523" t="inlineStr">
        <is>
          <t>TRANÅS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61017-2024</t>
        </is>
      </c>
      <c r="B524" s="1" t="n">
        <v>45644</v>
      </c>
      <c r="C524" s="1" t="n">
        <v>45704</v>
      </c>
      <c r="D524" t="inlineStr">
        <is>
          <t>JÖNKÖPINGS LÄN</t>
        </is>
      </c>
      <c r="E524" t="inlineStr">
        <is>
          <t>TRANÅS</t>
        </is>
      </c>
      <c r="G524" t="n">
        <v>12.1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61525-2024</t>
        </is>
      </c>
      <c r="B525" s="1" t="n">
        <v>45646</v>
      </c>
      <c r="C525" s="1" t="n">
        <v>45704</v>
      </c>
      <c r="D525" t="inlineStr">
        <is>
          <t>JÖNKÖPINGS LÄN</t>
        </is>
      </c>
      <c r="E525" t="inlineStr">
        <is>
          <t>TRANÅS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62148-2024</t>
        </is>
      </c>
      <c r="B526" s="1" t="n">
        <v>45646</v>
      </c>
      <c r="C526" s="1" t="n">
        <v>45704</v>
      </c>
      <c r="D526" t="inlineStr">
        <is>
          <t>JÖNKÖPINGS LÄN</t>
        </is>
      </c>
      <c r="E526" t="inlineStr">
        <is>
          <t>TRANÅS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1295-2025</t>
        </is>
      </c>
      <c r="B527" s="1" t="n">
        <v>45667</v>
      </c>
      <c r="C527" s="1" t="n">
        <v>45704</v>
      </c>
      <c r="D527" t="inlineStr">
        <is>
          <t>JÖNKÖPINGS LÄN</t>
        </is>
      </c>
      <c r="E527" t="inlineStr">
        <is>
          <t>TRANÅS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2365-2025</t>
        </is>
      </c>
      <c r="B528" s="1" t="n">
        <v>45673</v>
      </c>
      <c r="C528" s="1" t="n">
        <v>45704</v>
      </c>
      <c r="D528" t="inlineStr">
        <is>
          <t>JÖNKÖPINGS LÄN</t>
        </is>
      </c>
      <c r="E528" t="inlineStr">
        <is>
          <t>TRANÅS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3121-2025</t>
        </is>
      </c>
      <c r="B529" s="1" t="n">
        <v>45678</v>
      </c>
      <c r="C529" s="1" t="n">
        <v>45704</v>
      </c>
      <c r="D529" t="inlineStr">
        <is>
          <t>JÖNKÖPINGS LÄN</t>
        </is>
      </c>
      <c r="E529" t="inlineStr">
        <is>
          <t>TRANÅS</t>
        </is>
      </c>
      <c r="F529" t="inlineStr">
        <is>
          <t>Allmännings- och besparingsskogar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3921-2025</t>
        </is>
      </c>
      <c r="B530" s="1" t="n">
        <v>45684</v>
      </c>
      <c r="C530" s="1" t="n">
        <v>45704</v>
      </c>
      <c r="D530" t="inlineStr">
        <is>
          <t>JÖNKÖPINGS LÄN</t>
        </is>
      </c>
      <c r="E530" t="inlineStr">
        <is>
          <t>TRANÅS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4153-2025</t>
        </is>
      </c>
      <c r="B531" s="1" t="n">
        <v>45685</v>
      </c>
      <c r="C531" s="1" t="n">
        <v>45704</v>
      </c>
      <c r="D531" t="inlineStr">
        <is>
          <t>JÖNKÖPINGS LÄN</t>
        </is>
      </c>
      <c r="E531" t="inlineStr">
        <is>
          <t>TRANÅS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4233-2025</t>
        </is>
      </c>
      <c r="B532" s="1" t="n">
        <v>45685</v>
      </c>
      <c r="C532" s="1" t="n">
        <v>45704</v>
      </c>
      <c r="D532" t="inlineStr">
        <is>
          <t>JÖNKÖPINGS LÄN</t>
        </is>
      </c>
      <c r="E532" t="inlineStr">
        <is>
          <t>TRANÅS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5066-2025</t>
        </is>
      </c>
      <c r="B533" s="1" t="n">
        <v>45691</v>
      </c>
      <c r="C533" s="1" t="n">
        <v>45704</v>
      </c>
      <c r="D533" t="inlineStr">
        <is>
          <t>JÖNKÖPINGS LÄN</t>
        </is>
      </c>
      <c r="E533" t="inlineStr">
        <is>
          <t>TRANÅS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5615-2025</t>
        </is>
      </c>
      <c r="B534" s="1" t="n">
        <v>45693</v>
      </c>
      <c r="C534" s="1" t="n">
        <v>45704</v>
      </c>
      <c r="D534" t="inlineStr">
        <is>
          <t>JÖNKÖPINGS LÄN</t>
        </is>
      </c>
      <c r="E534" t="inlineStr">
        <is>
          <t>TRANÅS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5574-2025</t>
        </is>
      </c>
      <c r="B535" s="1" t="n">
        <v>45693</v>
      </c>
      <c r="C535" s="1" t="n">
        <v>45704</v>
      </c>
      <c r="D535" t="inlineStr">
        <is>
          <t>JÖNKÖPINGS LÄN</t>
        </is>
      </c>
      <c r="E535" t="inlineStr">
        <is>
          <t>TRANÅS</t>
        </is>
      </c>
      <c r="F535" t="inlineStr">
        <is>
          <t>Kommuner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6201-2025</t>
        </is>
      </c>
      <c r="B536" s="1" t="n">
        <v>45698</v>
      </c>
      <c r="C536" s="1" t="n">
        <v>45704</v>
      </c>
      <c r="D536" t="inlineStr">
        <is>
          <t>JÖNKÖPINGS LÄN</t>
        </is>
      </c>
      <c r="E536" t="inlineStr">
        <is>
          <t>TRANÅS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2025-02-16T15:59:10Z</dcterms:created>
  <dcterms:modified xmlns:dcterms="http://purl.org/dc/terms/" xmlns:xsi="http://www.w3.org/2001/XMLSchema-instance" xsi:type="dcterms:W3CDTF">2025-02-16T15:59:10Z</dcterms:modified>
</cp:coreProperties>
</file>