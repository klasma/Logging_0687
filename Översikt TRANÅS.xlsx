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46220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46220</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46220</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46220</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46220</v>
      </c>
      <c r="F6" t="inlineStr">
        <is>
          <t>JÖNKÖPINGS LÄN</t>
        </is>
      </c>
      <c r="G6" t="inlineStr">
        <is>
          <t>TRANÅS</t>
        </is>
      </c>
      <c r="I6" t="n">
        <v>3.6</v>
      </c>
      <c r="J6" t="n">
        <v>2</v>
      </c>
      <c r="K6" t="n">
        <v>2</v>
      </c>
      <c r="L6" t="n">
        <v>0</v>
      </c>
      <c r="M6" t="n">
        <v>0</v>
      </c>
      <c r="N6" t="n">
        <v>0</v>
      </c>
      <c r="O6" t="n">
        <v>0</v>
      </c>
      <c r="P6" t="n">
        <v>0</v>
      </c>
      <c r="Q6" t="n">
        <v>0</v>
      </c>
      <c r="R6" t="n">
        <v>0</v>
      </c>
      <c r="S6" t="n">
        <v>4</v>
      </c>
      <c r="T6" t="n">
        <v>5</v>
      </c>
      <c r="U6" s="2" t="inlineStr">
        <is>
          <t>Svart trolldruva
Underviol
Blåsippa
Gullviva</t>
        </is>
      </c>
      <c r="V6">
        <f>HYPERLINK("https://klasma.github.io/Logging_0687/artfynd/A 10480-2023 artfynd.xlsx", "A 10480-2023")</f>
        <v/>
      </c>
      <c r="W6">
        <f>HYPERLINK("https://klasma.github.io/Logging_0687/kartor/A 10480-2023 karta.png", "A 10480-2023")</f>
        <v/>
      </c>
      <c r="Y6">
        <f>HYPERLINK("https://klasma.github.io/Logging_0687/klagomål/A 10480-2023 FSC-klagomål.docx", "A 10480-2023")</f>
        <v/>
      </c>
      <c r="Z6">
        <f>HYPERLINK("https://klasma.github.io/Logging_0687/klagomålsmail/A 10480-2023 FSC-klagomål mail.docx", "A 10480-2023")</f>
        <v/>
      </c>
      <c r="AA6">
        <f>HYPERLINK("https://klasma.github.io/Logging_0687/tillsyn/A 10480-2023 tillsynsbegäran.docx", "A 10480-2023")</f>
        <v/>
      </c>
      <c r="AB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46220</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s="2" t="inlineStr">
        <is>
          <t>Knärot
Grönpyrola
Lopplummer (aggregat)
Revlummer</t>
        </is>
      </c>
      <c r="V7">
        <f>HYPERLINK("https://klasma.github.io/Logging_0687/artfynd/A 4529-2024 artfynd.xlsx", "A 4529-2024")</f>
        <v/>
      </c>
      <c r="W7">
        <f>HYPERLINK("https://klasma.github.io/Logging_0687/kartor/A 4529-2024 karta.png", "A 4529-2024")</f>
        <v/>
      </c>
      <c r="X7">
        <f>HYPERLINK("https://klasma.github.io/Logging_0687/knärot/A 4529-2024 karta knärot.png", "A 4529-2024")</f>
        <v/>
      </c>
      <c r="Y7">
        <f>HYPERLINK("https://klasma.github.io/Logging_0687/klagomål/A 4529-2024 FSC-klagomål.docx", "A 4529-2024")</f>
        <v/>
      </c>
      <c r="Z7">
        <f>HYPERLINK("https://klasma.github.io/Logging_0687/klagomålsmail/A 4529-2024 FSC-klagomål mail.docx", "A 4529-2024")</f>
        <v/>
      </c>
      <c r="AA7">
        <f>HYPERLINK("https://klasma.github.io/Logging_0687/tillsyn/A 4529-2024 tillsynsbegäran.docx", "A 4529-2024")</f>
        <v/>
      </c>
      <c r="AB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46220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s="2" t="inlineStr">
        <is>
          <t>Enkelbeckasin
Talltita
Tjäder
Kungsfågel</t>
        </is>
      </c>
      <c r="V8">
        <f>HYPERLINK("https://klasma.github.io/Logging_0687/artfynd/A 46324-2025 artfynd.xlsx", "A 46324-2025")</f>
        <v/>
      </c>
      <c r="W8">
        <f>HYPERLINK("https://klasma.github.io/Logging_0687/kartor/A 46324-2025 karta.png", "A 46324-2025")</f>
        <v/>
      </c>
      <c r="Y8">
        <f>HYPERLINK("https://klasma.github.io/Logging_0687/klagomål/A 46324-2025 FSC-klagomål.docx", "A 46324-2025")</f>
        <v/>
      </c>
      <c r="Z8">
        <f>HYPERLINK("https://klasma.github.io/Logging_0687/klagomålsmail/A 46324-2025 FSC-klagomål mail.docx", "A 46324-2025")</f>
        <v/>
      </c>
      <c r="AA8">
        <f>HYPERLINK("https://klasma.github.io/Logging_0687/tillsyn/A 46324-2025 tillsynsbegäran.docx", "A 46324-2025")</f>
        <v/>
      </c>
      <c r="AB8">
        <f>HYPERLINK("https://klasma.github.io/Logging_0687/tillsynsmail/A 46324-2025 tillsynsbegäran mail.docx", "A 46324-2025")</f>
        <v/>
      </c>
      <c r="AC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46220</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46220</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46220</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s="2" t="inlineStr">
        <is>
          <t>Vårärt
Underviol
Vätteros</t>
        </is>
      </c>
      <c r="V11">
        <f>HYPERLINK("https://klasma.github.io/Logging_0687/artfynd/A 46815-2025 artfynd.xlsx", "A 46815-2025")</f>
        <v/>
      </c>
      <c r="W11">
        <f>HYPERLINK("https://klasma.github.io/Logging_0687/kartor/A 46815-2025 karta.png", "A 46815-2025")</f>
        <v/>
      </c>
      <c r="Y11">
        <f>HYPERLINK("https://klasma.github.io/Logging_0687/klagomål/A 46815-2025 FSC-klagomål.docx", "A 46815-2025")</f>
        <v/>
      </c>
      <c r="Z11">
        <f>HYPERLINK("https://klasma.github.io/Logging_0687/klagomålsmail/A 46815-2025 FSC-klagomål mail.docx", "A 46815-2025")</f>
        <v/>
      </c>
      <c r="AA11">
        <f>HYPERLINK("https://klasma.github.io/Logging_0687/tillsyn/A 46815-2025 tillsynsbegäran.docx", "A 46815-2025")</f>
        <v/>
      </c>
      <c r="AB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46220</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s="2" t="inlineStr">
        <is>
          <t>Liten hornflikmossa
Svavelriska
Revlummer</t>
        </is>
      </c>
      <c r="V12">
        <f>HYPERLINK("https://klasma.github.io/Logging_0687/artfynd/A 6307-2023 artfynd.xlsx", "A 6307-2023")</f>
        <v/>
      </c>
      <c r="W12">
        <f>HYPERLINK("https://klasma.github.io/Logging_0687/kartor/A 6307-2023 karta.png", "A 6307-2023")</f>
        <v/>
      </c>
      <c r="Y12">
        <f>HYPERLINK("https://klasma.github.io/Logging_0687/klagomål/A 6307-2023 FSC-klagomål.docx", "A 6307-2023")</f>
        <v/>
      </c>
      <c r="Z12">
        <f>HYPERLINK("https://klasma.github.io/Logging_0687/klagomålsmail/A 6307-2023 FSC-klagomål mail.docx", "A 6307-2023")</f>
        <v/>
      </c>
      <c r="AA12">
        <f>HYPERLINK("https://klasma.github.io/Logging_0687/tillsyn/A 6307-2023 tillsynsbegäran.docx", "A 6307-2023")</f>
        <v/>
      </c>
      <c r="AB12">
        <f>HYPERLINK("https://klasma.github.io/Logging_0687/tillsynsmail/A 6307-2023 tillsynsbegäran mail.docx", "A 6307-2023")</f>
        <v/>
      </c>
    </row>
    <row r="13" ht="15" customHeight="1">
      <c r="A13" t="inlineStr">
        <is>
          <t>A 59532-2025</t>
        </is>
      </c>
      <c r="B13" t="inlineStr">
        <is>
          <t>avverkningsanmälan</t>
        </is>
      </c>
      <c r="C13" t="inlineStr">
        <is>
          <t>Föryngringsavverkning</t>
        </is>
      </c>
      <c r="D13" s="1" t="n">
        <v>45989</v>
      </c>
      <c r="E13" s="1" t="n">
        <v>46220</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s="2" t="inlineStr">
        <is>
          <t>Skogsalm
Gullpudra
Hässleklocka</t>
        </is>
      </c>
      <c r="V13">
        <f>HYPERLINK("https://klasma.github.io/Logging_0687/artfynd/A 59532-2025 artfynd.xlsx", "A 59532-2025")</f>
        <v/>
      </c>
      <c r="W13">
        <f>HYPERLINK("https://klasma.github.io/Logging_0687/kartor/A 59532-2025 karta.png", "A 59532-2025")</f>
        <v/>
      </c>
      <c r="Y13">
        <f>HYPERLINK("https://klasma.github.io/Logging_0687/klagomål/A 59532-2025 FSC-klagomål.docx", "A 59532-2025")</f>
        <v/>
      </c>
      <c r="Z13">
        <f>HYPERLINK("https://klasma.github.io/Logging_0687/klagomålsmail/A 59532-2025 FSC-klagomål mail.docx", "A 59532-2025")</f>
        <v/>
      </c>
      <c r="AA13">
        <f>HYPERLINK("https://klasma.github.io/Logging_0687/tillsyn/A 59532-2025 tillsynsbegäran.docx", "A 59532-2025")</f>
        <v/>
      </c>
      <c r="AB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46220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s="2" t="inlineStr">
        <is>
          <t>Fältgentiana
Svinrot
Åkerväddsantennmal</t>
        </is>
      </c>
      <c r="V14">
        <f>HYPERLINK("https://klasma.github.io/Logging_0687/artfynd/A 18179-2024 artfynd.xlsx", "A 18179-2024")</f>
        <v/>
      </c>
      <c r="W14">
        <f>HYPERLINK("https://klasma.github.io/Logging_0687/kartor/A 18179-2024 karta.png", "A 18179-2024")</f>
        <v/>
      </c>
      <c r="Y14">
        <f>HYPERLINK("https://klasma.github.io/Logging_0687/klagomål/A 18179-2024 FSC-klagomål.docx", "A 18179-2024")</f>
        <v/>
      </c>
      <c r="Z14">
        <f>HYPERLINK("https://klasma.github.io/Logging_0687/klagomålsmail/A 18179-2024 FSC-klagomål mail.docx", "A 18179-2024")</f>
        <v/>
      </c>
      <c r="AA14">
        <f>HYPERLINK("https://klasma.github.io/Logging_0687/tillsyn/A 18179-2024 tillsynsbegäran.docx", "A 18179-2024")</f>
        <v/>
      </c>
      <c r="AB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46220</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s="2" t="inlineStr">
        <is>
          <t>Sommarfibbla
Svinrot</t>
        </is>
      </c>
      <c r="V15">
        <f>HYPERLINK("https://klasma.github.io/Logging_0687/artfynd/A 59046-2025 artfynd.xlsx", "A 59046-2025")</f>
        <v/>
      </c>
      <c r="W15">
        <f>HYPERLINK("https://klasma.github.io/Logging_0687/kartor/A 59046-2025 karta.png", "A 59046-2025")</f>
        <v/>
      </c>
      <c r="Y15">
        <f>HYPERLINK("https://klasma.github.io/Logging_0687/klagomål/A 59046-2025 FSC-klagomål.docx", "A 59046-2025")</f>
        <v/>
      </c>
      <c r="Z15">
        <f>HYPERLINK("https://klasma.github.io/Logging_0687/klagomålsmail/A 59046-2025 FSC-klagomål mail.docx", "A 59046-2025")</f>
        <v/>
      </c>
      <c r="AA15">
        <f>HYPERLINK("https://klasma.github.io/Logging_0687/tillsyn/A 59046-2025 tillsynsbegäran.docx", "A 59046-2025")</f>
        <v/>
      </c>
      <c r="AB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46220</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s="2" t="inlineStr">
        <is>
          <t>Rördrom
Rörsångare</t>
        </is>
      </c>
      <c r="V16">
        <f>HYPERLINK("https://klasma.github.io/Logging_0687/artfynd/A 50634-2023 artfynd.xlsx", "A 50634-2023")</f>
        <v/>
      </c>
      <c r="W16">
        <f>HYPERLINK("https://klasma.github.io/Logging_0687/kartor/A 50634-2023 karta.png", "A 50634-2023")</f>
        <v/>
      </c>
      <c r="Y16">
        <f>HYPERLINK("https://klasma.github.io/Logging_0687/klagomål/A 50634-2023 FSC-klagomål.docx", "A 50634-2023")</f>
        <v/>
      </c>
      <c r="Z16">
        <f>HYPERLINK("https://klasma.github.io/Logging_0687/klagomålsmail/A 50634-2023 FSC-klagomål mail.docx", "A 50634-2023")</f>
        <v/>
      </c>
      <c r="AA16">
        <f>HYPERLINK("https://klasma.github.io/Logging_0687/tillsyn/A 50634-2023 tillsynsbegäran.docx", "A 50634-2023")</f>
        <v/>
      </c>
      <c r="AB16">
        <f>HYPERLINK("https://klasma.github.io/Logging_0687/tillsynsmail/A 50634-2023 tillsynsbegäran mail.docx", "A 50634-2023")</f>
        <v/>
      </c>
    </row>
    <row r="17" ht="15" customHeight="1">
      <c r="A17" t="inlineStr">
        <is>
          <t>A 20822-2024</t>
        </is>
      </c>
      <c r="B17" t="inlineStr">
        <is>
          <t>avverkningsanmälan</t>
        </is>
      </c>
      <c r="C17" t="inlineStr">
        <is>
          <t>Föryngringsavverkning</t>
        </is>
      </c>
      <c r="D17" s="1" t="n">
        <v>45439</v>
      </c>
      <c r="E17" s="1" t="n">
        <v>46220</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s="2" t="inlineStr">
        <is>
          <t>Bredbrämad bastardsvärmare
Blomkålssvamp</t>
        </is>
      </c>
      <c r="V17">
        <f>HYPERLINK("https://klasma.github.io/Logging_0687/artfynd/A 20822-2024 artfynd.xlsx", "A 20822-2024")</f>
        <v/>
      </c>
      <c r="W17">
        <f>HYPERLINK("https://klasma.github.io/Logging_0687/kartor/A 20822-2024 karta.png", "A 20822-2024")</f>
        <v/>
      </c>
      <c r="Y17">
        <f>HYPERLINK("https://klasma.github.io/Logging_0687/klagomål/A 20822-2024 FSC-klagomål.docx", "A 20822-2024")</f>
        <v/>
      </c>
      <c r="Z17">
        <f>HYPERLINK("https://klasma.github.io/Logging_0687/klagomålsmail/A 20822-2024 FSC-klagomål mail.docx", "A 20822-2024")</f>
        <v/>
      </c>
      <c r="AA17">
        <f>HYPERLINK("https://klasma.github.io/Logging_0687/tillsyn/A 20822-2024 tillsynsbegäran.docx", "A 20822-2024")</f>
        <v/>
      </c>
      <c r="AB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46220</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s="2" t="inlineStr">
        <is>
          <t>Åkerrättika
Klofibbla</t>
        </is>
      </c>
      <c r="V18">
        <f>HYPERLINK("https://klasma.github.io/Logging_0687/artfynd/A 29486-2023 artfynd.xlsx", "A 29486-2023")</f>
        <v/>
      </c>
      <c r="W18">
        <f>HYPERLINK("https://klasma.github.io/Logging_0687/kartor/A 29486-2023 karta.png", "A 29486-2023")</f>
        <v/>
      </c>
      <c r="Y18">
        <f>HYPERLINK("https://klasma.github.io/Logging_0687/klagomål/A 29486-2023 FSC-klagomål.docx", "A 29486-2023")</f>
        <v/>
      </c>
      <c r="Z18">
        <f>HYPERLINK("https://klasma.github.io/Logging_0687/klagomålsmail/A 29486-2023 FSC-klagomål mail.docx", "A 29486-2023")</f>
        <v/>
      </c>
      <c r="AA18">
        <f>HYPERLINK("https://klasma.github.io/Logging_0687/tillsyn/A 29486-2023 tillsynsbegäran.docx", "A 29486-2023")</f>
        <v/>
      </c>
      <c r="AB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46220</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s="2" t="inlineStr">
        <is>
          <t>Större vattensalamander
Mindre vattensalamander</t>
        </is>
      </c>
      <c r="V19">
        <f>HYPERLINK("https://klasma.github.io/Logging_0687/artfynd/A 59543-2022 artfynd.xlsx", "A 59543-2022")</f>
        <v/>
      </c>
      <c r="W19">
        <f>HYPERLINK("https://klasma.github.io/Logging_0687/kartor/A 59543-2022 karta.png", "A 59543-2022")</f>
        <v/>
      </c>
      <c r="Y19">
        <f>HYPERLINK("https://klasma.github.io/Logging_0687/klagomål/A 59543-2022 FSC-klagomål.docx", "A 59543-2022")</f>
        <v/>
      </c>
      <c r="Z19">
        <f>HYPERLINK("https://klasma.github.io/Logging_0687/klagomålsmail/A 59543-2022 FSC-klagomål mail.docx", "A 59543-2022")</f>
        <v/>
      </c>
      <c r="AA19">
        <f>HYPERLINK("https://klasma.github.io/Logging_0687/tillsyn/A 59543-2022 tillsynsbegäran.docx", "A 59543-2022")</f>
        <v/>
      </c>
      <c r="AB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46220</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s="2" t="inlineStr">
        <is>
          <t>Vätteros
Revlummer</t>
        </is>
      </c>
      <c r="V20">
        <f>HYPERLINK("https://klasma.github.io/Logging_0687/artfynd/A 22417-2025 artfynd.xlsx", "A 22417-2025")</f>
        <v/>
      </c>
      <c r="W20">
        <f>HYPERLINK("https://klasma.github.io/Logging_0687/kartor/A 22417-2025 karta.png", "A 22417-2025")</f>
        <v/>
      </c>
      <c r="Y20">
        <f>HYPERLINK("https://klasma.github.io/Logging_0687/klagomål/A 22417-2025 FSC-klagomål.docx", "A 22417-2025")</f>
        <v/>
      </c>
      <c r="Z20">
        <f>HYPERLINK("https://klasma.github.io/Logging_0687/klagomålsmail/A 22417-2025 FSC-klagomål mail.docx", "A 22417-2025")</f>
        <v/>
      </c>
      <c r="AA20">
        <f>HYPERLINK("https://klasma.github.io/Logging_0687/tillsyn/A 22417-2025 tillsynsbegäran.docx", "A 22417-2025")</f>
        <v/>
      </c>
      <c r="AB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46220</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46220</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46220</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s="2" t="inlineStr">
        <is>
          <t>Kantjordstjärna</t>
        </is>
      </c>
      <c r="V23">
        <f>HYPERLINK("https://klasma.github.io/Logging_0687/artfynd/A 23033-2022 artfynd.xlsx", "A 23033-2022")</f>
        <v/>
      </c>
      <c r="W23">
        <f>HYPERLINK("https://klasma.github.io/Logging_0687/kartor/A 23033-2022 karta.png", "A 23033-2022")</f>
        <v/>
      </c>
      <c r="Y23">
        <f>HYPERLINK("https://klasma.github.io/Logging_0687/klagomål/A 23033-2022 FSC-klagomål.docx", "A 23033-2022")</f>
        <v/>
      </c>
      <c r="Z23">
        <f>HYPERLINK("https://klasma.github.io/Logging_0687/klagomålsmail/A 23033-2022 FSC-klagomål mail.docx", "A 23033-2022")</f>
        <v/>
      </c>
      <c r="AA23">
        <f>HYPERLINK("https://klasma.github.io/Logging_0687/tillsyn/A 23033-2022 tillsynsbegäran.docx", "A 23033-2022")</f>
        <v/>
      </c>
      <c r="AB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46220</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Y24">
        <f>HYPERLINK("https://klasma.github.io/Logging_0687/klagomål/A 44235-2025 FSC-klagomål.docx", "A 44235-2025")</f>
        <v/>
      </c>
      <c r="Z24">
        <f>HYPERLINK("https://klasma.github.io/Logging_0687/klagomålsmail/A 44235-2025 FSC-klagomål mail.docx", "A 44235-2025")</f>
        <v/>
      </c>
      <c r="AA24">
        <f>HYPERLINK("https://klasma.github.io/Logging_0687/tillsyn/A 44235-2025 tillsynsbegäran.docx", "A 44235-2025")</f>
        <v/>
      </c>
      <c r="AB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46220</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s="2" t="inlineStr">
        <is>
          <t>Ask</t>
        </is>
      </c>
      <c r="V25">
        <f>HYPERLINK("https://klasma.github.io/Logging_0687/artfynd/A 44723-2025 artfynd.xlsx", "A 44723-2025")</f>
        <v/>
      </c>
      <c r="W25">
        <f>HYPERLINK("https://klasma.github.io/Logging_0687/kartor/A 44723-2025 karta.png", "A 44723-2025")</f>
        <v/>
      </c>
      <c r="Y25">
        <f>HYPERLINK("https://klasma.github.io/Logging_0687/klagomål/A 44723-2025 FSC-klagomål.docx", "A 44723-2025")</f>
        <v/>
      </c>
      <c r="Z25">
        <f>HYPERLINK("https://klasma.github.io/Logging_0687/klagomålsmail/A 44723-2025 FSC-klagomål mail.docx", "A 44723-2025")</f>
        <v/>
      </c>
      <c r="AA25">
        <f>HYPERLINK("https://klasma.github.io/Logging_0687/tillsyn/A 44723-2025 tillsynsbegäran.docx", "A 44723-2025")</f>
        <v/>
      </c>
      <c r="AB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46220</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s="2" t="inlineStr">
        <is>
          <t>Spillkråka</t>
        </is>
      </c>
      <c r="V26">
        <f>HYPERLINK("https://klasma.github.io/Logging_0687/artfynd/A 20278-2025 artfynd.xlsx", "A 20278-2025")</f>
        <v/>
      </c>
      <c r="W26">
        <f>HYPERLINK("https://klasma.github.io/Logging_0687/kartor/A 20278-2025 karta.png", "A 20278-2025")</f>
        <v/>
      </c>
      <c r="Y26">
        <f>HYPERLINK("https://klasma.github.io/Logging_0687/klagomål/A 20278-2025 FSC-klagomål.docx", "A 20278-2025")</f>
        <v/>
      </c>
      <c r="Z26">
        <f>HYPERLINK("https://klasma.github.io/Logging_0687/klagomålsmail/A 20278-2025 FSC-klagomål mail.docx", "A 20278-2025")</f>
        <v/>
      </c>
      <c r="AA26">
        <f>HYPERLINK("https://klasma.github.io/Logging_0687/tillsyn/A 20278-2025 tillsynsbegäran.docx", "A 20278-2025")</f>
        <v/>
      </c>
      <c r="AB26">
        <f>HYPERLINK("https://klasma.github.io/Logging_0687/tillsynsmail/A 20278-2025 tillsynsbegäran mail.docx", "A 20278-2025")</f>
        <v/>
      </c>
      <c r="AC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46220</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s="2" t="inlineStr">
        <is>
          <t>Blåsippa</t>
        </is>
      </c>
      <c r="V27">
        <f>HYPERLINK("https://klasma.github.io/Logging_0687/artfynd/A 9977-2022 artfynd.xlsx", "A 9977-2022")</f>
        <v/>
      </c>
      <c r="W27">
        <f>HYPERLINK("https://klasma.github.io/Logging_0687/kartor/A 9977-2022 karta.png", "A 9977-2022")</f>
        <v/>
      </c>
      <c r="Y27">
        <f>HYPERLINK("https://klasma.github.io/Logging_0687/klagomål/A 9977-2022 FSC-klagomål.docx", "A 9977-2022")</f>
        <v/>
      </c>
      <c r="Z27">
        <f>HYPERLINK("https://klasma.github.io/Logging_0687/klagomålsmail/A 9977-2022 FSC-klagomål mail.docx", "A 9977-2022")</f>
        <v/>
      </c>
      <c r="AA27">
        <f>HYPERLINK("https://klasma.github.io/Logging_0687/tillsyn/A 9977-2022 tillsynsbegäran.docx", "A 9977-2022")</f>
        <v/>
      </c>
      <c r="AB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46220</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s="2" t="inlineStr">
        <is>
          <t>Ryl</t>
        </is>
      </c>
      <c r="V28">
        <f>HYPERLINK("https://klasma.github.io/Logging_0687/artfynd/A 31857-2024 artfynd.xlsx", "A 31857-2024")</f>
        <v/>
      </c>
      <c r="W28">
        <f>HYPERLINK("https://klasma.github.io/Logging_0687/kartor/A 31857-2024 karta.png", "A 31857-2024")</f>
        <v/>
      </c>
      <c r="Y28">
        <f>HYPERLINK("https://klasma.github.io/Logging_0687/klagomål/A 31857-2024 FSC-klagomål.docx", "A 31857-2024")</f>
        <v/>
      </c>
      <c r="Z28">
        <f>HYPERLINK("https://klasma.github.io/Logging_0687/klagomålsmail/A 31857-2024 FSC-klagomål mail.docx", "A 31857-2024")</f>
        <v/>
      </c>
      <c r="AA28">
        <f>HYPERLINK("https://klasma.github.io/Logging_0687/tillsyn/A 31857-2024 tillsynsbegäran.docx", "A 31857-2024")</f>
        <v/>
      </c>
      <c r="AB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46220</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s="2" t="inlineStr">
        <is>
          <t>Ryl</t>
        </is>
      </c>
      <c r="V29">
        <f>HYPERLINK("https://klasma.github.io/Logging_0687/artfynd/A 19465-2026 artfynd.xlsx", "A 19465-2026")</f>
        <v/>
      </c>
      <c r="W29">
        <f>HYPERLINK("https://klasma.github.io/Logging_0687/kartor/A 19465-2026 karta.png", "A 19465-2026")</f>
        <v/>
      </c>
      <c r="Y29">
        <f>HYPERLINK("https://klasma.github.io/Logging_0687/klagomål/A 19465-2026 FSC-klagomål.docx", "A 19465-2026")</f>
        <v/>
      </c>
      <c r="Z29">
        <f>HYPERLINK("https://klasma.github.io/Logging_0687/klagomålsmail/A 19465-2026 FSC-klagomål mail.docx", "A 19465-2026")</f>
        <v/>
      </c>
      <c r="AA29">
        <f>HYPERLINK("https://klasma.github.io/Logging_0687/tillsyn/A 19465-2026 tillsynsbegäran.docx", "A 19465-2026")</f>
        <v/>
      </c>
      <c r="AB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46220</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s="2" t="inlineStr">
        <is>
          <t>Ask</t>
        </is>
      </c>
      <c r="V30">
        <f>HYPERLINK("https://klasma.github.io/Logging_0687/artfynd/A 19695-2025 artfynd.xlsx", "A 19695-2025")</f>
        <v/>
      </c>
      <c r="W30">
        <f>HYPERLINK("https://klasma.github.io/Logging_0687/kartor/A 19695-2025 karta.png", "A 19695-2025")</f>
        <v/>
      </c>
      <c r="Y30">
        <f>HYPERLINK("https://klasma.github.io/Logging_0687/klagomål/A 19695-2025 FSC-klagomål.docx", "A 19695-2025")</f>
        <v/>
      </c>
      <c r="Z30">
        <f>HYPERLINK("https://klasma.github.io/Logging_0687/klagomålsmail/A 19695-2025 FSC-klagomål mail.docx", "A 19695-2025")</f>
        <v/>
      </c>
      <c r="AA30">
        <f>HYPERLINK("https://klasma.github.io/Logging_0687/tillsyn/A 19695-2025 tillsynsbegäran.docx", "A 19695-2025")</f>
        <v/>
      </c>
      <c r="AB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46220</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s="2" t="inlineStr">
        <is>
          <t>Ryl</t>
        </is>
      </c>
      <c r="V31">
        <f>HYPERLINK("https://klasma.github.io/Logging_0687/artfynd/A 1720-2024 artfynd.xlsx", "A 1720-2024")</f>
        <v/>
      </c>
      <c r="W31">
        <f>HYPERLINK("https://klasma.github.io/Logging_0687/kartor/A 1720-2024 karta.png", "A 1720-2024")</f>
        <v/>
      </c>
      <c r="Y31">
        <f>HYPERLINK("https://klasma.github.io/Logging_0687/klagomål/A 1720-2024 FSC-klagomål.docx", "A 1720-2024")</f>
        <v/>
      </c>
      <c r="Z31">
        <f>HYPERLINK("https://klasma.github.io/Logging_0687/klagomålsmail/A 1720-2024 FSC-klagomål mail.docx", "A 1720-2024")</f>
        <v/>
      </c>
      <c r="AA31">
        <f>HYPERLINK("https://klasma.github.io/Logging_0687/tillsyn/A 1720-2024 tillsynsbegäran.docx", "A 1720-2024")</f>
        <v/>
      </c>
      <c r="AB31">
        <f>HYPERLINK("https://klasma.github.io/Logging_0687/tillsynsmail/A 1720-2024 tillsynsbegäran mail.docx", "A 1720-2024")</f>
        <v/>
      </c>
    </row>
    <row r="32" ht="15" customHeight="1">
      <c r="A32" t="inlineStr">
        <is>
          <t>A 28575-2026</t>
        </is>
      </c>
      <c r="B32" t="inlineStr">
        <is>
          <t>avverkningsanmälan</t>
        </is>
      </c>
      <c r="C32" t="inlineStr">
        <is>
          <t>Föryngringsavverkning</t>
        </is>
      </c>
      <c r="D32" s="1" t="n">
        <v>46197</v>
      </c>
      <c r="E32" s="1" t="n">
        <v>46220</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s="2" t="inlineStr">
        <is>
          <t>Storgröe</t>
        </is>
      </c>
      <c r="V32">
        <f>HYPERLINK("https://klasma.github.io/Logging_0687/artfynd/A 28575-2026 artfynd.xlsx", "A 28575-2026")</f>
        <v/>
      </c>
      <c r="W32">
        <f>HYPERLINK("https://klasma.github.io/Logging_0687/kartor/A 28575-2026 karta.png", "A 28575-2026")</f>
        <v/>
      </c>
      <c r="Y32">
        <f>HYPERLINK("https://klasma.github.io/Logging_0687/klagomål/A 28575-2026 FSC-klagomål.docx", "A 28575-2026")</f>
        <v/>
      </c>
      <c r="Z32">
        <f>HYPERLINK("https://klasma.github.io/Logging_0687/klagomålsmail/A 28575-2026 FSC-klagomål mail.docx", "A 28575-2026")</f>
        <v/>
      </c>
      <c r="AA32">
        <f>HYPERLINK("https://klasma.github.io/Logging_0687/tillsyn/A 28575-2026 tillsynsbegäran.docx", "A 28575-2026")</f>
        <v/>
      </c>
      <c r="AB32">
        <f>HYPERLINK("https://klasma.github.io/Logging_0687/tillsynsmail/A 28575-2026 tillsynsbegäran mail.docx", "A 28575-2026")</f>
        <v/>
      </c>
    </row>
    <row r="33" ht="15" customHeight="1">
      <c r="A33" t="inlineStr">
        <is>
          <t>A 26618-2026</t>
        </is>
      </c>
      <c r="B33" t="inlineStr">
        <is>
          <t>avverkningsanmälan</t>
        </is>
      </c>
      <c r="C33" t="inlineStr">
        <is>
          <t>Avverkning för annat ändamål</t>
        </is>
      </c>
      <c r="D33" s="1" t="n">
        <v>46184</v>
      </c>
      <c r="E33" s="1" t="n">
        <v>46220</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s="2" t="inlineStr">
        <is>
          <t>Ask</t>
        </is>
      </c>
      <c r="V33">
        <f>HYPERLINK("https://klasma.github.io/Logging_0687/artfynd/A 26618-2026 artfynd.xlsx", "A 26618-2026")</f>
        <v/>
      </c>
      <c r="W33">
        <f>HYPERLINK("https://klasma.github.io/Logging_0687/kartor/A 26618-2026 karta.png", "A 26618-2026")</f>
        <v/>
      </c>
      <c r="Y33">
        <f>HYPERLINK("https://klasma.github.io/Logging_0687/klagomål/A 26618-2026 FSC-klagomål.docx", "A 26618-2026")</f>
        <v/>
      </c>
      <c r="Z33">
        <f>HYPERLINK("https://klasma.github.io/Logging_0687/klagomålsmail/A 26618-2026 FSC-klagomål mail.docx", "A 26618-2026")</f>
        <v/>
      </c>
      <c r="AA33">
        <f>HYPERLINK("https://klasma.github.io/Logging_0687/tillsyn/A 26618-2026 tillsynsbegäran.docx", "A 26618-2026")</f>
        <v/>
      </c>
      <c r="AB33">
        <f>HYPERLINK("https://klasma.github.io/Logging_0687/tillsynsmail/A 26618-2026 tillsynsbegäran mail.docx", "A 26618-2026")</f>
        <v/>
      </c>
    </row>
    <row r="34" ht="15" customHeight="1">
      <c r="A34" t="inlineStr">
        <is>
          <t>A 988-2026</t>
        </is>
      </c>
      <c r="B34" t="inlineStr">
        <is>
          <t>avverkningsanmälan</t>
        </is>
      </c>
      <c r="C34" t="inlineStr">
        <is>
          <t>Föryngringsavverkning</t>
        </is>
      </c>
      <c r="D34" s="1" t="n">
        <v>46029</v>
      </c>
      <c r="E34" s="1" t="n">
        <v>46220</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s="2" t="inlineStr">
        <is>
          <t>Ask</t>
        </is>
      </c>
      <c r="V34">
        <f>HYPERLINK("https://klasma.github.io/Logging_0687/artfynd/A 988-2026 artfynd.xlsx", "A 988-2026")</f>
        <v/>
      </c>
      <c r="W34">
        <f>HYPERLINK("https://klasma.github.io/Logging_0687/kartor/A 988-2026 karta.png", "A 988-2026")</f>
        <v/>
      </c>
      <c r="Y34">
        <f>HYPERLINK("https://klasma.github.io/Logging_0687/klagomål/A 988-2026 FSC-klagomål.docx", "A 988-2026")</f>
        <v/>
      </c>
      <c r="Z34">
        <f>HYPERLINK("https://klasma.github.io/Logging_0687/klagomålsmail/A 988-2026 FSC-klagomål mail.docx", "A 988-2026")</f>
        <v/>
      </c>
      <c r="AA34">
        <f>HYPERLINK("https://klasma.github.io/Logging_0687/tillsyn/A 988-2026 tillsynsbegäran.docx", "A 988-2026")</f>
        <v/>
      </c>
      <c r="AB34">
        <f>HYPERLINK("https://klasma.github.io/Logging_0687/tillsynsmail/A 988-2026 tillsynsbegäran mail.docx", "A 988-2026")</f>
        <v/>
      </c>
    </row>
    <row r="35" ht="15" customHeight="1">
      <c r="A35" t="inlineStr">
        <is>
          <t>A 60263-2023</t>
        </is>
      </c>
      <c r="B35" t="inlineStr">
        <is>
          <t>avverkningsanmälan</t>
        </is>
      </c>
      <c r="C35" t="inlineStr">
        <is>
          <t>Föryngringsavverkning</t>
        </is>
      </c>
      <c r="D35" s="1" t="n">
        <v>45258</v>
      </c>
      <c r="E35" s="1" t="n">
        <v>46220</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s="2" t="inlineStr">
        <is>
          <t>Grönvit nattviol</t>
        </is>
      </c>
      <c r="V35">
        <f>HYPERLINK("https://klasma.github.io/Logging_0687/artfynd/A 60263-2023 artfynd.xlsx", "A 60263-2023")</f>
        <v/>
      </c>
      <c r="W35">
        <f>HYPERLINK("https://klasma.github.io/Logging_0687/kartor/A 60263-2023 karta.png", "A 60263-2023")</f>
        <v/>
      </c>
      <c r="Y35">
        <f>HYPERLINK("https://klasma.github.io/Logging_0687/klagomål/A 60263-2023 FSC-klagomål.docx", "A 60263-2023")</f>
        <v/>
      </c>
      <c r="Z35">
        <f>HYPERLINK("https://klasma.github.io/Logging_0687/klagomålsmail/A 60263-2023 FSC-klagomål mail.docx", "A 60263-2023")</f>
        <v/>
      </c>
      <c r="AA35">
        <f>HYPERLINK("https://klasma.github.io/Logging_0687/tillsyn/A 60263-2023 tillsynsbegäran.docx", "A 60263-2023")</f>
        <v/>
      </c>
      <c r="AB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46220</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s="2" t="inlineStr">
        <is>
          <t>Ask</t>
        </is>
      </c>
      <c r="V36">
        <f>HYPERLINK("https://klasma.github.io/Logging_0687/artfynd/A 29382-2022 artfynd.xlsx", "A 29382-2022")</f>
        <v/>
      </c>
      <c r="W36">
        <f>HYPERLINK("https://klasma.github.io/Logging_0687/kartor/A 29382-2022 karta.png", "A 29382-2022")</f>
        <v/>
      </c>
      <c r="Y36">
        <f>HYPERLINK("https://klasma.github.io/Logging_0687/klagomål/A 29382-2022 FSC-klagomål.docx", "A 29382-2022")</f>
        <v/>
      </c>
      <c r="Z36">
        <f>HYPERLINK("https://klasma.github.io/Logging_0687/klagomålsmail/A 29382-2022 FSC-klagomål mail.docx", "A 29382-2022")</f>
        <v/>
      </c>
      <c r="AA36">
        <f>HYPERLINK("https://klasma.github.io/Logging_0687/tillsyn/A 29382-2022 tillsynsbegäran.docx", "A 29382-2022")</f>
        <v/>
      </c>
      <c r="AB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46220</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s="2" t="inlineStr">
        <is>
          <t>Ask</t>
        </is>
      </c>
      <c r="V37">
        <f>HYPERLINK("https://klasma.github.io/Logging_0687/artfynd/A 37703-2023 artfynd.xlsx", "A 37703-2023")</f>
        <v/>
      </c>
      <c r="W37">
        <f>HYPERLINK("https://klasma.github.io/Logging_0687/kartor/A 37703-2023 karta.png", "A 37703-2023")</f>
        <v/>
      </c>
      <c r="Y37">
        <f>HYPERLINK("https://klasma.github.io/Logging_0687/klagomål/A 37703-2023 FSC-klagomål.docx", "A 37703-2023")</f>
        <v/>
      </c>
      <c r="Z37">
        <f>HYPERLINK("https://klasma.github.io/Logging_0687/klagomålsmail/A 37703-2023 FSC-klagomål mail.docx", "A 37703-2023")</f>
        <v/>
      </c>
      <c r="AA37">
        <f>HYPERLINK("https://klasma.github.io/Logging_0687/tillsyn/A 37703-2023 tillsynsbegäran.docx", "A 37703-2023")</f>
        <v/>
      </c>
      <c r="AB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46220</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46220</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46220</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46220</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46220</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46220</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46220</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46220</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46220</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46220</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46220</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46220</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46220</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46220</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46220</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46220</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46220</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46220</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46220</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46220</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46220</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46220</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46220</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46220</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46220</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46220</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46220</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46220</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22726-2022</t>
        </is>
      </c>
      <c r="B66" t="inlineStr">
        <is>
          <t>avverkningsanmälan</t>
        </is>
      </c>
      <c r="C66" t="inlineStr">
        <is>
          <t>Föryngringsavverkning</t>
        </is>
      </c>
      <c r="D66" s="1" t="n">
        <v>44714</v>
      </c>
      <c r="E66" s="1" t="n">
        <v>46220</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s="2" t="inlineStr"/>
    </row>
    <row r="67" ht="15" customHeight="1">
      <c r="A67" t="inlineStr">
        <is>
          <t>A 45575-2022</t>
        </is>
      </c>
      <c r="B67" t="inlineStr">
        <is>
          <t>avverkningsanmälan</t>
        </is>
      </c>
      <c r="C67" t="inlineStr">
        <is>
          <t>Avverkning för annat ändamål</t>
        </is>
      </c>
      <c r="D67" s="1" t="n">
        <v>44845</v>
      </c>
      <c r="E67" s="1" t="n">
        <v>46220</v>
      </c>
      <c r="F67" t="inlineStr">
        <is>
          <t>JÖNKÖPINGS LÄN</t>
        </is>
      </c>
      <c r="G67" t="inlineStr">
        <is>
          <t>TRANÅS</t>
        </is>
      </c>
      <c r="I67" t="n">
        <v>0.6</v>
      </c>
      <c r="J67" t="n">
        <v>0</v>
      </c>
      <c r="K67" t="n">
        <v>0</v>
      </c>
      <c r="L67" t="n">
        <v>0</v>
      </c>
      <c r="M67" t="n">
        <v>0</v>
      </c>
      <c r="N67" t="n">
        <v>0</v>
      </c>
      <c r="O67" t="n">
        <v>0</v>
      </c>
      <c r="P67" t="n">
        <v>0</v>
      </c>
      <c r="Q67" t="n">
        <v>0</v>
      </c>
      <c r="R67" t="n">
        <v>0</v>
      </c>
      <c r="S67" t="n">
        <v>0</v>
      </c>
      <c r="T67" t="n">
        <v>0</v>
      </c>
      <c r="U67" s="2" t="inlineStr"/>
    </row>
    <row r="68" ht="15" customHeight="1">
      <c r="A68" t="inlineStr">
        <is>
          <t>A 9750-2025</t>
        </is>
      </c>
      <c r="B68" t="inlineStr">
        <is>
          <t>avverkningsanmälan</t>
        </is>
      </c>
      <c r="C68" t="inlineStr">
        <is>
          <t>Föryngringsavverkning</t>
        </is>
      </c>
      <c r="D68" s="1" t="n">
        <v>45716</v>
      </c>
      <c r="E68" s="1" t="n">
        <v>46220</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s="2" t="inlineStr"/>
    </row>
    <row r="69" ht="15" customHeight="1">
      <c r="A69" t="inlineStr">
        <is>
          <t>A 23031-2022</t>
        </is>
      </c>
      <c r="B69" t="inlineStr">
        <is>
          <t>avverkningsanmälan</t>
        </is>
      </c>
      <c r="C69" t="inlineStr">
        <is>
          <t>Avverkning för annat ändamål</t>
        </is>
      </c>
      <c r="D69" s="1" t="n">
        <v>44719</v>
      </c>
      <c r="E69" s="1" t="n">
        <v>46220</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s="2" t="inlineStr"/>
    </row>
    <row r="70" ht="15" customHeight="1">
      <c r="A70" t="inlineStr">
        <is>
          <t>A 73785-2021</t>
        </is>
      </c>
      <c r="B70" t="inlineStr">
        <is>
          <t>avverkningsanmälan</t>
        </is>
      </c>
      <c r="C70" t="inlineStr">
        <is>
          <t>Föryngringsavverkning</t>
        </is>
      </c>
      <c r="D70" s="1" t="n">
        <v>44552</v>
      </c>
      <c r="E70" s="1" t="n">
        <v>46220</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s="2" t="inlineStr"/>
    </row>
    <row r="71" ht="15" customHeight="1">
      <c r="A71" t="inlineStr">
        <is>
          <t>A 24708-2023</t>
        </is>
      </c>
      <c r="B71" t="inlineStr">
        <is>
          <t>avverkningsanmälan</t>
        </is>
      </c>
      <c r="C71" t="inlineStr">
        <is>
          <t>Föryngringsavverkning</t>
        </is>
      </c>
      <c r="D71" s="1" t="n">
        <v>45084</v>
      </c>
      <c r="E71" s="1" t="n">
        <v>46220</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s="2" t="inlineStr"/>
    </row>
    <row r="72" ht="15" customHeight="1">
      <c r="A72" t="inlineStr">
        <is>
          <t>A 20549-2023</t>
        </is>
      </c>
      <c r="B72" t="inlineStr">
        <is>
          <t>avverkningsanmälan</t>
        </is>
      </c>
      <c r="C72" t="inlineStr">
        <is>
          <t>Föryngringsavverkning</t>
        </is>
      </c>
      <c r="D72" s="1" t="n">
        <v>45057</v>
      </c>
      <c r="E72" s="1" t="n">
        <v>46220</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s="2" t="inlineStr"/>
    </row>
    <row r="73" ht="15" customHeight="1">
      <c r="A73" t="inlineStr">
        <is>
          <t>A 6043-2023</t>
        </is>
      </c>
      <c r="B73" t="inlineStr">
        <is>
          <t>avverkningsanmälan</t>
        </is>
      </c>
      <c r="C73" t="inlineStr">
        <is>
          <t>Avverkning för annat ändamål</t>
        </is>
      </c>
      <c r="D73" s="1" t="n">
        <v>44964</v>
      </c>
      <c r="E73" s="1" t="n">
        <v>46220</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s="2" t="inlineStr"/>
    </row>
    <row r="74" ht="15" customHeight="1">
      <c r="A74" t="inlineStr">
        <is>
          <t>A 60359-2023</t>
        </is>
      </c>
      <c r="B74" t="inlineStr">
        <is>
          <t>avverkningsanmälan</t>
        </is>
      </c>
      <c r="C74" t="inlineStr">
        <is>
          <t>Föryngringsavverkning</t>
        </is>
      </c>
      <c r="D74" s="1" t="n">
        <v>45259</v>
      </c>
      <c r="E74" s="1" t="n">
        <v>46220</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s="2" t="inlineStr"/>
    </row>
    <row r="75" ht="15" customHeight="1">
      <c r="A75" t="inlineStr">
        <is>
          <t>A 18084-2024</t>
        </is>
      </c>
      <c r="B75" t="inlineStr">
        <is>
          <t>avverkningsanmälan</t>
        </is>
      </c>
      <c r="C75" t="inlineStr">
        <is>
          <t>Föryngringsavverkning</t>
        </is>
      </c>
      <c r="D75" s="1" t="n">
        <v>45420</v>
      </c>
      <c r="E75" s="1" t="n">
        <v>46220</v>
      </c>
      <c r="F75" t="inlineStr">
        <is>
          <t>JÖNKÖPINGS LÄN</t>
        </is>
      </c>
      <c r="G75" t="inlineStr">
        <is>
          <t>TRANÅS</t>
        </is>
      </c>
      <c r="I75" t="n">
        <v>1.5</v>
      </c>
      <c r="J75" t="n">
        <v>0</v>
      </c>
      <c r="K75" t="n">
        <v>0</v>
      </c>
      <c r="L75" t="n">
        <v>0</v>
      </c>
      <c r="M75" t="n">
        <v>0</v>
      </c>
      <c r="N75" t="n">
        <v>0</v>
      </c>
      <c r="O75" t="n">
        <v>0</v>
      </c>
      <c r="P75" t="n">
        <v>0</v>
      </c>
      <c r="Q75" t="n">
        <v>0</v>
      </c>
      <c r="R75" t="n">
        <v>0</v>
      </c>
      <c r="S75" t="n">
        <v>0</v>
      </c>
      <c r="T75" t="n">
        <v>0</v>
      </c>
      <c r="U75" s="2" t="inlineStr"/>
    </row>
    <row r="76" ht="15" customHeight="1">
      <c r="A76" t="inlineStr">
        <is>
          <t>A 30152-2023</t>
        </is>
      </c>
      <c r="B76" t="inlineStr">
        <is>
          <t>avverkningsanmälan</t>
        </is>
      </c>
      <c r="C76" t="inlineStr">
        <is>
          <t>Föryngringsavverkning</t>
        </is>
      </c>
      <c r="D76" s="1" t="n">
        <v>45110</v>
      </c>
      <c r="E76" s="1" t="n">
        <v>46220</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s="2" t="inlineStr"/>
    </row>
    <row r="77" ht="15" customHeight="1">
      <c r="A77" t="inlineStr">
        <is>
          <t>A 19332-2025</t>
        </is>
      </c>
      <c r="B77" t="inlineStr">
        <is>
          <t>avverkningsanmälan</t>
        </is>
      </c>
      <c r="C77" t="inlineStr">
        <is>
          <t>Föryngringsavverkning</t>
        </is>
      </c>
      <c r="D77" s="1" t="n">
        <v>45769</v>
      </c>
      <c r="E77" s="1" t="n">
        <v>46220</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s="2" t="inlineStr"/>
    </row>
    <row r="78" ht="15" customHeight="1">
      <c r="A78" t="inlineStr">
        <is>
          <t>A 20134-2024</t>
        </is>
      </c>
      <c r="B78" t="inlineStr">
        <is>
          <t>avverkningsanmälan</t>
        </is>
      </c>
      <c r="C78" t="inlineStr">
        <is>
          <t>Föryngringsavverkning</t>
        </is>
      </c>
      <c r="D78" s="1" t="n">
        <v>45434</v>
      </c>
      <c r="E78" s="1" t="n">
        <v>46220</v>
      </c>
      <c r="F78" t="inlineStr">
        <is>
          <t>JÖNKÖPINGS LÄN</t>
        </is>
      </c>
      <c r="G78" t="inlineStr">
        <is>
          <t>TRANÅS</t>
        </is>
      </c>
      <c r="I78" t="n">
        <v>3.1</v>
      </c>
      <c r="J78" t="n">
        <v>0</v>
      </c>
      <c r="K78" t="n">
        <v>0</v>
      </c>
      <c r="L78" t="n">
        <v>0</v>
      </c>
      <c r="M78" t="n">
        <v>0</v>
      </c>
      <c r="N78" t="n">
        <v>0</v>
      </c>
      <c r="O78" t="n">
        <v>0</v>
      </c>
      <c r="P78" t="n">
        <v>0</v>
      </c>
      <c r="Q78" t="n">
        <v>0</v>
      </c>
      <c r="R78" t="n">
        <v>0</v>
      </c>
      <c r="S78" t="n">
        <v>0</v>
      </c>
      <c r="T78" t="n">
        <v>0</v>
      </c>
      <c r="U78" s="2" t="inlineStr"/>
    </row>
    <row r="79" ht="15" customHeight="1">
      <c r="A79" t="inlineStr">
        <is>
          <t>A 47902-2022</t>
        </is>
      </c>
      <c r="B79" t="inlineStr">
        <is>
          <t>avverkningsanmälan</t>
        </is>
      </c>
      <c r="C79" t="inlineStr">
        <is>
          <t>Föryngringsavverkning</t>
        </is>
      </c>
      <c r="D79" s="1" t="n">
        <v>44855</v>
      </c>
      <c r="E79" s="1" t="n">
        <v>46220</v>
      </c>
      <c r="F79" t="inlineStr">
        <is>
          <t>JÖNKÖPINGS LÄN</t>
        </is>
      </c>
      <c r="G79" t="inlineStr">
        <is>
          <t>TRANÅS</t>
        </is>
      </c>
      <c r="I79" t="n">
        <v>0.7</v>
      </c>
      <c r="J79" t="n">
        <v>0</v>
      </c>
      <c r="K79" t="n">
        <v>0</v>
      </c>
      <c r="L79" t="n">
        <v>0</v>
      </c>
      <c r="M79" t="n">
        <v>0</v>
      </c>
      <c r="N79" t="n">
        <v>0</v>
      </c>
      <c r="O79" t="n">
        <v>0</v>
      </c>
      <c r="P79" t="n">
        <v>0</v>
      </c>
      <c r="Q79" t="n">
        <v>0</v>
      </c>
      <c r="R79" t="n">
        <v>0</v>
      </c>
      <c r="S79" t="n">
        <v>0</v>
      </c>
      <c r="T79" t="n">
        <v>0</v>
      </c>
      <c r="U79" s="2" t="inlineStr"/>
    </row>
    <row r="80" ht="15" customHeight="1">
      <c r="A80" t="inlineStr">
        <is>
          <t>A 17077-2025</t>
        </is>
      </c>
      <c r="B80" t="inlineStr">
        <is>
          <t>avverkningsanmälan</t>
        </is>
      </c>
      <c r="C80" t="inlineStr">
        <is>
          <t>Föryngringsavverkning</t>
        </is>
      </c>
      <c r="D80" s="1" t="n">
        <v>45754</v>
      </c>
      <c r="E80" s="1" t="n">
        <v>46220</v>
      </c>
      <c r="F80" t="inlineStr">
        <is>
          <t>JÖNKÖPINGS LÄN</t>
        </is>
      </c>
      <c r="G80" t="inlineStr">
        <is>
          <t>TRANÅS</t>
        </is>
      </c>
      <c r="I80" t="n">
        <v>4.3</v>
      </c>
      <c r="J80" t="n">
        <v>0</v>
      </c>
      <c r="K80" t="n">
        <v>0</v>
      </c>
      <c r="L80" t="n">
        <v>0</v>
      </c>
      <c r="M80" t="n">
        <v>0</v>
      </c>
      <c r="N80" t="n">
        <v>0</v>
      </c>
      <c r="O80" t="n">
        <v>0</v>
      </c>
      <c r="P80" t="n">
        <v>0</v>
      </c>
      <c r="Q80" t="n">
        <v>0</v>
      </c>
      <c r="R80" t="n">
        <v>0</v>
      </c>
      <c r="S80" t="n">
        <v>0</v>
      </c>
      <c r="T80" t="n">
        <v>0</v>
      </c>
      <c r="U80" s="2" t="inlineStr"/>
    </row>
    <row r="81" ht="15" customHeight="1">
      <c r="A81" t="inlineStr">
        <is>
          <t>A 13581-2025</t>
        </is>
      </c>
      <c r="B81" t="inlineStr">
        <is>
          <t>avverkningsanmälan</t>
        </is>
      </c>
      <c r="C81" t="inlineStr">
        <is>
          <t>Föryngringsavverkning</t>
        </is>
      </c>
      <c r="D81" s="1" t="n">
        <v>45736</v>
      </c>
      <c r="E81" s="1" t="n">
        <v>46220</v>
      </c>
      <c r="F81" t="inlineStr">
        <is>
          <t>JÖNKÖPINGS LÄN</t>
        </is>
      </c>
      <c r="G81" t="inlineStr">
        <is>
          <t>TRANÅS</t>
        </is>
      </c>
      <c r="I81" t="n">
        <v>5.5</v>
      </c>
      <c r="J81" t="n">
        <v>0</v>
      </c>
      <c r="K81" t="n">
        <v>0</v>
      </c>
      <c r="L81" t="n">
        <v>0</v>
      </c>
      <c r="M81" t="n">
        <v>0</v>
      </c>
      <c r="N81" t="n">
        <v>0</v>
      </c>
      <c r="O81" t="n">
        <v>0</v>
      </c>
      <c r="P81" t="n">
        <v>0</v>
      </c>
      <c r="Q81" t="n">
        <v>0</v>
      </c>
      <c r="R81" t="n">
        <v>0</v>
      </c>
      <c r="S81" t="n">
        <v>0</v>
      </c>
      <c r="T81" t="n">
        <v>0</v>
      </c>
      <c r="U81" s="2" t="inlineStr"/>
    </row>
    <row r="82" ht="15" customHeight="1">
      <c r="A82" t="inlineStr">
        <is>
          <t>A 17149-2024</t>
        </is>
      </c>
      <c r="B82" t="inlineStr">
        <is>
          <t>avverkningsanmälan</t>
        </is>
      </c>
      <c r="C82" t="inlineStr">
        <is>
          <t>Föryngringsavverkning</t>
        </is>
      </c>
      <c r="D82" s="1" t="n">
        <v>45412</v>
      </c>
      <c r="E82" s="1" t="n">
        <v>46220</v>
      </c>
      <c r="F82" t="inlineStr">
        <is>
          <t>JÖNKÖPINGS LÄN</t>
        </is>
      </c>
      <c r="G82" t="inlineStr">
        <is>
          <t>TRANÅS</t>
        </is>
      </c>
      <c r="I82" t="n">
        <v>4</v>
      </c>
      <c r="J82" t="n">
        <v>0</v>
      </c>
      <c r="K82" t="n">
        <v>0</v>
      </c>
      <c r="L82" t="n">
        <v>0</v>
      </c>
      <c r="M82" t="n">
        <v>0</v>
      </c>
      <c r="N82" t="n">
        <v>0</v>
      </c>
      <c r="O82" t="n">
        <v>0</v>
      </c>
      <c r="P82" t="n">
        <v>0</v>
      </c>
      <c r="Q82" t="n">
        <v>0</v>
      </c>
      <c r="R82" t="n">
        <v>0</v>
      </c>
      <c r="S82" t="n">
        <v>0</v>
      </c>
      <c r="T82" t="n">
        <v>0</v>
      </c>
      <c r="U82" s="2" t="inlineStr"/>
    </row>
    <row r="83" ht="15" customHeight="1">
      <c r="A83" t="inlineStr">
        <is>
          <t>A 2375-2023</t>
        </is>
      </c>
      <c r="B83" t="inlineStr">
        <is>
          <t>avverkningsanmälan</t>
        </is>
      </c>
      <c r="C83" t="inlineStr">
        <is>
          <t>Föryngringsavverkning</t>
        </is>
      </c>
      <c r="D83" s="1" t="n">
        <v>44942</v>
      </c>
      <c r="E83" s="1" t="n">
        <v>46220</v>
      </c>
      <c r="F83" t="inlineStr">
        <is>
          <t>JÖNKÖPINGS LÄN</t>
        </is>
      </c>
      <c r="G83" t="inlineStr">
        <is>
          <t>TRANÅS</t>
        </is>
      </c>
      <c r="H83" t="inlineStr">
        <is>
          <t>Kommuner</t>
        </is>
      </c>
      <c r="I83" t="n">
        <v>2.5</v>
      </c>
      <c r="J83" t="n">
        <v>0</v>
      </c>
      <c r="K83" t="n">
        <v>0</v>
      </c>
      <c r="L83" t="n">
        <v>0</v>
      </c>
      <c r="M83" t="n">
        <v>0</v>
      </c>
      <c r="N83" t="n">
        <v>0</v>
      </c>
      <c r="O83" t="n">
        <v>0</v>
      </c>
      <c r="P83" t="n">
        <v>0</v>
      </c>
      <c r="Q83" t="n">
        <v>0</v>
      </c>
      <c r="R83" t="n">
        <v>0</v>
      </c>
      <c r="S83" t="n">
        <v>0</v>
      </c>
      <c r="T83" t="n">
        <v>0</v>
      </c>
      <c r="U83" s="2" t="inlineStr"/>
    </row>
    <row r="84" ht="15" customHeight="1">
      <c r="A84" t="inlineStr">
        <is>
          <t>A 49256-2024</t>
        </is>
      </c>
      <c r="B84" t="inlineStr">
        <is>
          <t>avverkningsanmälan</t>
        </is>
      </c>
      <c r="C84" t="inlineStr">
        <is>
          <t>Föryngringsavverkning</t>
        </is>
      </c>
      <c r="D84" s="1" t="n">
        <v>45595</v>
      </c>
      <c r="E84" s="1" t="n">
        <v>46220</v>
      </c>
      <c r="F84" t="inlineStr">
        <is>
          <t>JÖNKÖPINGS LÄN</t>
        </is>
      </c>
      <c r="G84" t="inlineStr">
        <is>
          <t>TRANÅS</t>
        </is>
      </c>
      <c r="I84" t="n">
        <v>2.5</v>
      </c>
      <c r="J84" t="n">
        <v>0</v>
      </c>
      <c r="K84" t="n">
        <v>0</v>
      </c>
      <c r="L84" t="n">
        <v>0</v>
      </c>
      <c r="M84" t="n">
        <v>0</v>
      </c>
      <c r="N84" t="n">
        <v>0</v>
      </c>
      <c r="O84" t="n">
        <v>0</v>
      </c>
      <c r="P84" t="n">
        <v>0</v>
      </c>
      <c r="Q84" t="n">
        <v>0</v>
      </c>
      <c r="R84" t="n">
        <v>0</v>
      </c>
      <c r="S84" t="n">
        <v>0</v>
      </c>
      <c r="T84" t="n">
        <v>0</v>
      </c>
      <c r="U84" s="2" t="inlineStr"/>
    </row>
    <row r="85" ht="15" customHeight="1">
      <c r="A85" t="inlineStr">
        <is>
          <t>A 37912-2024</t>
        </is>
      </c>
      <c r="B85" t="inlineStr">
        <is>
          <t>avverkningsanmälan</t>
        </is>
      </c>
      <c r="C85" t="inlineStr">
        <is>
          <t>Avverkning för annat ändamål</t>
        </is>
      </c>
      <c r="D85" s="1" t="n">
        <v>45544</v>
      </c>
      <c r="E85" s="1" t="n">
        <v>46220</v>
      </c>
      <c r="F85" t="inlineStr">
        <is>
          <t>JÖNKÖPINGS LÄN</t>
        </is>
      </c>
      <c r="G85" t="inlineStr">
        <is>
          <t>TRANÅS</t>
        </is>
      </c>
      <c r="I85" t="n">
        <v>2.5</v>
      </c>
      <c r="J85" t="n">
        <v>0</v>
      </c>
      <c r="K85" t="n">
        <v>0</v>
      </c>
      <c r="L85" t="n">
        <v>0</v>
      </c>
      <c r="M85" t="n">
        <v>0</v>
      </c>
      <c r="N85" t="n">
        <v>0</v>
      </c>
      <c r="O85" t="n">
        <v>0</v>
      </c>
      <c r="P85" t="n">
        <v>0</v>
      </c>
      <c r="Q85" t="n">
        <v>0</v>
      </c>
      <c r="R85" t="n">
        <v>0</v>
      </c>
      <c r="S85" t="n">
        <v>0</v>
      </c>
      <c r="T85" t="n">
        <v>0</v>
      </c>
      <c r="U85" s="2" t="inlineStr"/>
    </row>
    <row r="86" ht="15" customHeight="1">
      <c r="A86" t="inlineStr">
        <is>
          <t>A 12885-2023</t>
        </is>
      </c>
      <c r="B86" t="inlineStr">
        <is>
          <t>avverkningsanmälan</t>
        </is>
      </c>
      <c r="C86" t="inlineStr">
        <is>
          <t>Föryngringsavverkning</t>
        </is>
      </c>
      <c r="D86" s="1" t="n">
        <v>45001</v>
      </c>
      <c r="E86" s="1" t="n">
        <v>46220</v>
      </c>
      <c r="F86" t="inlineStr">
        <is>
          <t>JÖNKÖPINGS LÄN</t>
        </is>
      </c>
      <c r="G86" t="inlineStr">
        <is>
          <t>TRANÅS</t>
        </is>
      </c>
      <c r="I86" t="n">
        <v>5.4</v>
      </c>
      <c r="J86" t="n">
        <v>0</v>
      </c>
      <c r="K86" t="n">
        <v>0</v>
      </c>
      <c r="L86" t="n">
        <v>0</v>
      </c>
      <c r="M86" t="n">
        <v>0</v>
      </c>
      <c r="N86" t="n">
        <v>0</v>
      </c>
      <c r="O86" t="n">
        <v>0</v>
      </c>
      <c r="P86" t="n">
        <v>0</v>
      </c>
      <c r="Q86" t="n">
        <v>0</v>
      </c>
      <c r="R86" t="n">
        <v>0</v>
      </c>
      <c r="S86" t="n">
        <v>0</v>
      </c>
      <c r="T86" t="n">
        <v>0</v>
      </c>
      <c r="U86" s="2" t="inlineStr"/>
    </row>
    <row r="87" ht="15" customHeight="1">
      <c r="A87" t="inlineStr">
        <is>
          <t>A 53489-2023</t>
        </is>
      </c>
      <c r="B87" t="inlineStr">
        <is>
          <t>avverkningsanmälan</t>
        </is>
      </c>
      <c r="C87" t="inlineStr">
        <is>
          <t>Föryngringsavverkning</t>
        </is>
      </c>
      <c r="D87" s="1" t="n">
        <v>45230</v>
      </c>
      <c r="E87" s="1" t="n">
        <v>46220</v>
      </c>
      <c r="F87" t="inlineStr">
        <is>
          <t>JÖNKÖPINGS LÄN</t>
        </is>
      </c>
      <c r="G87" t="inlineStr">
        <is>
          <t>TRANÅS</t>
        </is>
      </c>
      <c r="I87" t="n">
        <v>0.8</v>
      </c>
      <c r="J87" t="n">
        <v>0</v>
      </c>
      <c r="K87" t="n">
        <v>0</v>
      </c>
      <c r="L87" t="n">
        <v>0</v>
      </c>
      <c r="M87" t="n">
        <v>0</v>
      </c>
      <c r="N87" t="n">
        <v>0</v>
      </c>
      <c r="O87" t="n">
        <v>0</v>
      </c>
      <c r="P87" t="n">
        <v>0</v>
      </c>
      <c r="Q87" t="n">
        <v>0</v>
      </c>
      <c r="R87" t="n">
        <v>0</v>
      </c>
      <c r="S87" t="n">
        <v>0</v>
      </c>
      <c r="T87" t="n">
        <v>0</v>
      </c>
      <c r="U87" s="2" t="inlineStr"/>
    </row>
    <row r="88" ht="15" customHeight="1">
      <c r="A88" t="inlineStr">
        <is>
          <t>A 37146-2021</t>
        </is>
      </c>
      <c r="B88" t="inlineStr">
        <is>
          <t>avverkningsanmälan</t>
        </is>
      </c>
      <c r="C88" t="inlineStr">
        <is>
          <t>Föryngringsavverkning</t>
        </is>
      </c>
      <c r="D88" s="1" t="n">
        <v>44396</v>
      </c>
      <c r="E88" s="1" t="n">
        <v>46220</v>
      </c>
      <c r="F88" t="inlineStr">
        <is>
          <t>JÖNKÖPINGS LÄN</t>
        </is>
      </c>
      <c r="G88" t="inlineStr">
        <is>
          <t>TRANÅS</t>
        </is>
      </c>
      <c r="I88" t="n">
        <v>2.1</v>
      </c>
      <c r="J88" t="n">
        <v>0</v>
      </c>
      <c r="K88" t="n">
        <v>0</v>
      </c>
      <c r="L88" t="n">
        <v>0</v>
      </c>
      <c r="M88" t="n">
        <v>0</v>
      </c>
      <c r="N88" t="n">
        <v>0</v>
      </c>
      <c r="O88" t="n">
        <v>0</v>
      </c>
      <c r="P88" t="n">
        <v>0</v>
      </c>
      <c r="Q88" t="n">
        <v>0</v>
      </c>
      <c r="R88" t="n">
        <v>0</v>
      </c>
      <c r="S88" t="n">
        <v>0</v>
      </c>
      <c r="T88" t="n">
        <v>0</v>
      </c>
      <c r="U88" s="2" t="inlineStr"/>
    </row>
    <row r="89" ht="15" customHeight="1">
      <c r="A89" t="inlineStr">
        <is>
          <t>A 39043-2025</t>
        </is>
      </c>
      <c r="B89" t="inlineStr">
        <is>
          <t>avverkningsanmälan</t>
        </is>
      </c>
      <c r="C89" t="inlineStr">
        <is>
          <t>Avverkning för annat ändamål</t>
        </is>
      </c>
      <c r="D89" s="1" t="n">
        <v>45888</v>
      </c>
      <c r="E89" s="1" t="n">
        <v>46220</v>
      </c>
      <c r="F89" t="inlineStr">
        <is>
          <t>JÖNKÖPINGS LÄN</t>
        </is>
      </c>
      <c r="G89" t="inlineStr">
        <is>
          <t>TRANÅS</t>
        </is>
      </c>
      <c r="I89" t="n">
        <v>4.6</v>
      </c>
      <c r="J89" t="n">
        <v>0</v>
      </c>
      <c r="K89" t="n">
        <v>0</v>
      </c>
      <c r="L89" t="n">
        <v>0</v>
      </c>
      <c r="M89" t="n">
        <v>0</v>
      </c>
      <c r="N89" t="n">
        <v>0</v>
      </c>
      <c r="O89" t="n">
        <v>0</v>
      </c>
      <c r="P89" t="n">
        <v>0</v>
      </c>
      <c r="Q89" t="n">
        <v>0</v>
      </c>
      <c r="R89" t="n">
        <v>0</v>
      </c>
      <c r="S89" t="n">
        <v>0</v>
      </c>
      <c r="T89" t="n">
        <v>0</v>
      </c>
      <c r="U89" s="2" t="inlineStr"/>
    </row>
    <row r="90" ht="15" customHeight="1">
      <c r="A90" t="inlineStr">
        <is>
          <t>A 12214-2022</t>
        </is>
      </c>
      <c r="B90" t="inlineStr">
        <is>
          <t>avverkningsanmälan</t>
        </is>
      </c>
      <c r="C90" t="inlineStr">
        <is>
          <t>Avverkning för annat ändamål</t>
        </is>
      </c>
      <c r="D90" s="1" t="n">
        <v>44637</v>
      </c>
      <c r="E90" s="1" t="n">
        <v>46220</v>
      </c>
      <c r="F90" t="inlineStr">
        <is>
          <t>JÖNKÖPINGS LÄN</t>
        </is>
      </c>
      <c r="G90" t="inlineStr">
        <is>
          <t>TRANÅS</t>
        </is>
      </c>
      <c r="H90" t="inlineStr">
        <is>
          <t>Allmännings- och besparingsskogar</t>
        </is>
      </c>
      <c r="I90" t="n">
        <v>1.2</v>
      </c>
      <c r="J90" t="n">
        <v>0</v>
      </c>
      <c r="K90" t="n">
        <v>0</v>
      </c>
      <c r="L90" t="n">
        <v>0</v>
      </c>
      <c r="M90" t="n">
        <v>0</v>
      </c>
      <c r="N90" t="n">
        <v>0</v>
      </c>
      <c r="O90" t="n">
        <v>0</v>
      </c>
      <c r="P90" t="n">
        <v>0</v>
      </c>
      <c r="Q90" t="n">
        <v>0</v>
      </c>
      <c r="R90" t="n">
        <v>0</v>
      </c>
      <c r="S90" t="n">
        <v>0</v>
      </c>
      <c r="T90" t="n">
        <v>0</v>
      </c>
      <c r="U90" s="2" t="inlineStr"/>
    </row>
    <row r="91" ht="15" customHeight="1">
      <c r="A91" t="inlineStr">
        <is>
          <t>A 26449-2022</t>
        </is>
      </c>
      <c r="B91" t="inlineStr">
        <is>
          <t>avverkningsanmälan</t>
        </is>
      </c>
      <c r="C91" t="inlineStr">
        <is>
          <t>Föryngringsavverkning</t>
        </is>
      </c>
      <c r="D91" s="1" t="n">
        <v>44738</v>
      </c>
      <c r="E91" s="1" t="n">
        <v>46220</v>
      </c>
      <c r="F91" t="inlineStr">
        <is>
          <t>JÖNKÖPINGS LÄN</t>
        </is>
      </c>
      <c r="G91" t="inlineStr">
        <is>
          <t>TRANÅS</t>
        </is>
      </c>
      <c r="I91" t="n">
        <v>2.9</v>
      </c>
      <c r="J91" t="n">
        <v>0</v>
      </c>
      <c r="K91" t="n">
        <v>0</v>
      </c>
      <c r="L91" t="n">
        <v>0</v>
      </c>
      <c r="M91" t="n">
        <v>0</v>
      </c>
      <c r="N91" t="n">
        <v>0</v>
      </c>
      <c r="O91" t="n">
        <v>0</v>
      </c>
      <c r="P91" t="n">
        <v>0</v>
      </c>
      <c r="Q91" t="n">
        <v>0</v>
      </c>
      <c r="R91" t="n">
        <v>0</v>
      </c>
      <c r="S91" t="n">
        <v>0</v>
      </c>
      <c r="T91" t="n">
        <v>0</v>
      </c>
      <c r="U91" s="2" t="inlineStr"/>
    </row>
    <row r="92" ht="15" customHeight="1">
      <c r="A92" t="inlineStr">
        <is>
          <t>A 20414-2025</t>
        </is>
      </c>
      <c r="B92" t="inlineStr">
        <is>
          <t>avverkningsanmälan</t>
        </is>
      </c>
      <c r="C92" t="inlineStr">
        <is>
          <t>Föryngringsavverkning</t>
        </is>
      </c>
      <c r="D92" s="1" t="n">
        <v>45775</v>
      </c>
      <c r="E92" s="1" t="n">
        <v>46220</v>
      </c>
      <c r="F92" t="inlineStr">
        <is>
          <t>JÖNKÖPINGS LÄN</t>
        </is>
      </c>
      <c r="G92" t="inlineStr">
        <is>
          <t>TRANÅS</t>
        </is>
      </c>
      <c r="I92" t="n">
        <v>1.1</v>
      </c>
      <c r="J92" t="n">
        <v>0</v>
      </c>
      <c r="K92" t="n">
        <v>0</v>
      </c>
      <c r="L92" t="n">
        <v>0</v>
      </c>
      <c r="M92" t="n">
        <v>0</v>
      </c>
      <c r="N92" t="n">
        <v>0</v>
      </c>
      <c r="O92" t="n">
        <v>0</v>
      </c>
      <c r="P92" t="n">
        <v>0</v>
      </c>
      <c r="Q92" t="n">
        <v>0</v>
      </c>
      <c r="R92" t="n">
        <v>0</v>
      </c>
      <c r="S92" t="n">
        <v>0</v>
      </c>
      <c r="T92" t="n">
        <v>0</v>
      </c>
      <c r="U92" s="2" t="inlineStr"/>
    </row>
    <row r="93" ht="15" customHeight="1">
      <c r="A93" t="inlineStr">
        <is>
          <t>A 39047-2025</t>
        </is>
      </c>
      <c r="B93" t="inlineStr">
        <is>
          <t>avverkningsanmälan</t>
        </is>
      </c>
      <c r="C93" t="inlineStr">
        <is>
          <t>Föryngringsavverkning</t>
        </is>
      </c>
      <c r="D93" s="1" t="n">
        <v>45888</v>
      </c>
      <c r="E93" s="1" t="n">
        <v>46220</v>
      </c>
      <c r="F93" t="inlineStr">
        <is>
          <t>JÖNKÖPINGS LÄN</t>
        </is>
      </c>
      <c r="G93" t="inlineStr">
        <is>
          <t>TRANÅS</t>
        </is>
      </c>
      <c r="I93" t="n">
        <v>1.2</v>
      </c>
      <c r="J93" t="n">
        <v>0</v>
      </c>
      <c r="K93" t="n">
        <v>0</v>
      </c>
      <c r="L93" t="n">
        <v>0</v>
      </c>
      <c r="M93" t="n">
        <v>0</v>
      </c>
      <c r="N93" t="n">
        <v>0</v>
      </c>
      <c r="O93" t="n">
        <v>0</v>
      </c>
      <c r="P93" t="n">
        <v>0</v>
      </c>
      <c r="Q93" t="n">
        <v>0</v>
      </c>
      <c r="R93" t="n">
        <v>0</v>
      </c>
      <c r="S93" t="n">
        <v>0</v>
      </c>
      <c r="T93" t="n">
        <v>0</v>
      </c>
      <c r="U93" s="2" t="inlineStr"/>
    </row>
    <row r="94" ht="15" customHeight="1">
      <c r="A94" t="inlineStr">
        <is>
          <t>A 39593-2025</t>
        </is>
      </c>
      <c r="B94" t="inlineStr">
        <is>
          <t>avverkningsanmälan</t>
        </is>
      </c>
      <c r="C94" t="inlineStr">
        <is>
          <t>Föryngringsavverkning</t>
        </is>
      </c>
      <c r="D94" s="1" t="n">
        <v>45890</v>
      </c>
      <c r="E94" s="1" t="n">
        <v>46220</v>
      </c>
      <c r="F94" t="inlineStr">
        <is>
          <t>JÖNKÖPINGS LÄN</t>
        </is>
      </c>
      <c r="G94" t="inlineStr">
        <is>
          <t>TRANÅS</t>
        </is>
      </c>
      <c r="I94" t="n">
        <v>3.1</v>
      </c>
      <c r="J94" t="n">
        <v>0</v>
      </c>
      <c r="K94" t="n">
        <v>0</v>
      </c>
      <c r="L94" t="n">
        <v>0</v>
      </c>
      <c r="M94" t="n">
        <v>0</v>
      </c>
      <c r="N94" t="n">
        <v>0</v>
      </c>
      <c r="O94" t="n">
        <v>0</v>
      </c>
      <c r="P94" t="n">
        <v>0</v>
      </c>
      <c r="Q94" t="n">
        <v>0</v>
      </c>
      <c r="R94" t="n">
        <v>0</v>
      </c>
      <c r="S94" t="n">
        <v>0</v>
      </c>
      <c r="T94" t="n">
        <v>0</v>
      </c>
      <c r="U94" s="2" t="inlineStr"/>
    </row>
    <row r="95" ht="15" customHeight="1">
      <c r="A95" t="inlineStr">
        <is>
          <t>A 26855-2025</t>
        </is>
      </c>
      <c r="B95" t="inlineStr">
        <is>
          <t>avverkningsanmälan</t>
        </is>
      </c>
      <c r="C95" t="inlineStr">
        <is>
          <t>Föryngringsavverkning</t>
        </is>
      </c>
      <c r="D95" s="1" t="n">
        <v>45810</v>
      </c>
      <c r="E95" s="1" t="n">
        <v>46220</v>
      </c>
      <c r="F95" t="inlineStr">
        <is>
          <t>JÖNKÖPINGS LÄN</t>
        </is>
      </c>
      <c r="G95" t="inlineStr">
        <is>
          <t>TRANÅS</t>
        </is>
      </c>
      <c r="H95" t="inlineStr">
        <is>
          <t>Kommuner</t>
        </is>
      </c>
      <c r="I95" t="n">
        <v>1.3</v>
      </c>
      <c r="J95" t="n">
        <v>0</v>
      </c>
      <c r="K95" t="n">
        <v>0</v>
      </c>
      <c r="L95" t="n">
        <v>0</v>
      </c>
      <c r="M95" t="n">
        <v>0</v>
      </c>
      <c r="N95" t="n">
        <v>0</v>
      </c>
      <c r="O95" t="n">
        <v>0</v>
      </c>
      <c r="P95" t="n">
        <v>0</v>
      </c>
      <c r="Q95" t="n">
        <v>0</v>
      </c>
      <c r="R95" t="n">
        <v>0</v>
      </c>
      <c r="S95" t="n">
        <v>0</v>
      </c>
      <c r="T95" t="n">
        <v>0</v>
      </c>
      <c r="U95" s="2" t="inlineStr"/>
    </row>
    <row r="96" ht="15" customHeight="1">
      <c r="A96" t="inlineStr">
        <is>
          <t>A 17963-2024</t>
        </is>
      </c>
      <c r="B96" t="inlineStr">
        <is>
          <t>avverkningsanmälan</t>
        </is>
      </c>
      <c r="C96" t="inlineStr">
        <is>
          <t>Avverkning för annat ändamål</t>
        </is>
      </c>
      <c r="D96" s="1" t="n">
        <v>45419</v>
      </c>
      <c r="E96" s="1" t="n">
        <v>46220</v>
      </c>
      <c r="F96" t="inlineStr">
        <is>
          <t>JÖNKÖPINGS LÄN</t>
        </is>
      </c>
      <c r="G96" t="inlineStr">
        <is>
          <t>TRANÅS</t>
        </is>
      </c>
      <c r="I96" t="n">
        <v>2.6</v>
      </c>
      <c r="J96" t="n">
        <v>0</v>
      </c>
      <c r="K96" t="n">
        <v>0</v>
      </c>
      <c r="L96" t="n">
        <v>0</v>
      </c>
      <c r="M96" t="n">
        <v>0</v>
      </c>
      <c r="N96" t="n">
        <v>0</v>
      </c>
      <c r="O96" t="n">
        <v>0</v>
      </c>
      <c r="P96" t="n">
        <v>0</v>
      </c>
      <c r="Q96" t="n">
        <v>0</v>
      </c>
      <c r="R96" t="n">
        <v>0</v>
      </c>
      <c r="S96" t="n">
        <v>0</v>
      </c>
      <c r="T96" t="n">
        <v>0</v>
      </c>
      <c r="U96" s="2" t="inlineStr"/>
    </row>
    <row r="97" ht="15" customHeight="1">
      <c r="A97" t="inlineStr">
        <is>
          <t>A 11630-2023</t>
        </is>
      </c>
      <c r="B97" t="inlineStr">
        <is>
          <t>avverkningsanmälan</t>
        </is>
      </c>
      <c r="C97" t="inlineStr">
        <is>
          <t>Föryngringsavverkning</t>
        </is>
      </c>
      <c r="D97" s="1" t="n">
        <v>44992</v>
      </c>
      <c r="E97" s="1" t="n">
        <v>46220</v>
      </c>
      <c r="F97" t="inlineStr">
        <is>
          <t>JÖNKÖPINGS LÄN</t>
        </is>
      </c>
      <c r="G97" t="inlineStr">
        <is>
          <t>TRANÅS</t>
        </is>
      </c>
      <c r="I97" t="n">
        <v>0.8</v>
      </c>
      <c r="J97" t="n">
        <v>0</v>
      </c>
      <c r="K97" t="n">
        <v>0</v>
      </c>
      <c r="L97" t="n">
        <v>0</v>
      </c>
      <c r="M97" t="n">
        <v>0</v>
      </c>
      <c r="N97" t="n">
        <v>0</v>
      </c>
      <c r="O97" t="n">
        <v>0</v>
      </c>
      <c r="P97" t="n">
        <v>0</v>
      </c>
      <c r="Q97" t="n">
        <v>0</v>
      </c>
      <c r="R97" t="n">
        <v>0</v>
      </c>
      <c r="S97" t="n">
        <v>0</v>
      </c>
      <c r="T97" t="n">
        <v>0</v>
      </c>
      <c r="U97" s="2" t="inlineStr"/>
    </row>
    <row r="98" ht="15" customHeight="1">
      <c r="A98" t="inlineStr">
        <is>
          <t>A 13624-2023</t>
        </is>
      </c>
      <c r="B98" t="inlineStr">
        <is>
          <t>avverkningsanmälan</t>
        </is>
      </c>
      <c r="C98" t="inlineStr">
        <is>
          <t>Föryngringsavverkning</t>
        </is>
      </c>
      <c r="D98" s="1" t="n">
        <v>45006</v>
      </c>
      <c r="E98" s="1" t="n">
        <v>46220</v>
      </c>
      <c r="F98" t="inlineStr">
        <is>
          <t>JÖNKÖPINGS LÄN</t>
        </is>
      </c>
      <c r="G98" t="inlineStr">
        <is>
          <t>TRANÅS</t>
        </is>
      </c>
      <c r="I98" t="n">
        <v>1.7</v>
      </c>
      <c r="J98" t="n">
        <v>0</v>
      </c>
      <c r="K98" t="n">
        <v>0</v>
      </c>
      <c r="L98" t="n">
        <v>0</v>
      </c>
      <c r="M98" t="n">
        <v>0</v>
      </c>
      <c r="N98" t="n">
        <v>0</v>
      </c>
      <c r="O98" t="n">
        <v>0</v>
      </c>
      <c r="P98" t="n">
        <v>0</v>
      </c>
      <c r="Q98" t="n">
        <v>0</v>
      </c>
      <c r="R98" t="n">
        <v>0</v>
      </c>
      <c r="S98" t="n">
        <v>0</v>
      </c>
      <c r="T98" t="n">
        <v>0</v>
      </c>
      <c r="U98" s="2" t="inlineStr"/>
    </row>
    <row r="99" ht="15" customHeight="1">
      <c r="A99" t="inlineStr">
        <is>
          <t>A 42885-2025</t>
        </is>
      </c>
      <c r="B99" t="inlineStr">
        <is>
          <t>avverkningsanmälan</t>
        </is>
      </c>
      <c r="C99" t="inlineStr">
        <is>
          <t>Föryngringsavverkning</t>
        </is>
      </c>
      <c r="D99" s="1" t="n">
        <v>45908</v>
      </c>
      <c r="E99" s="1" t="n">
        <v>46220</v>
      </c>
      <c r="F99" t="inlineStr">
        <is>
          <t>JÖNKÖPINGS LÄN</t>
        </is>
      </c>
      <c r="G99" t="inlineStr">
        <is>
          <t>TRANÅS</t>
        </is>
      </c>
      <c r="I99" t="n">
        <v>1.3</v>
      </c>
      <c r="J99" t="n">
        <v>0</v>
      </c>
      <c r="K99" t="n">
        <v>0</v>
      </c>
      <c r="L99" t="n">
        <v>0</v>
      </c>
      <c r="M99" t="n">
        <v>0</v>
      </c>
      <c r="N99" t="n">
        <v>0</v>
      </c>
      <c r="O99" t="n">
        <v>0</v>
      </c>
      <c r="P99" t="n">
        <v>0</v>
      </c>
      <c r="Q99" t="n">
        <v>0</v>
      </c>
      <c r="R99" t="n">
        <v>0</v>
      </c>
      <c r="S99" t="n">
        <v>0</v>
      </c>
      <c r="T99" t="n">
        <v>0</v>
      </c>
      <c r="U99" s="2" t="inlineStr"/>
    </row>
    <row r="100" ht="15" customHeight="1">
      <c r="A100" t="inlineStr">
        <is>
          <t>A 2449-2026</t>
        </is>
      </c>
      <c r="B100" t="inlineStr">
        <is>
          <t>avverkningsanmälan</t>
        </is>
      </c>
      <c r="C100" t="inlineStr">
        <is>
          <t>Föryngringsavverkning</t>
        </is>
      </c>
      <c r="D100" s="1" t="n">
        <v>46037</v>
      </c>
      <c r="E100" s="1" t="n">
        <v>46220</v>
      </c>
      <c r="F100" t="inlineStr">
        <is>
          <t>JÖNKÖPINGS LÄN</t>
        </is>
      </c>
      <c r="G100" t="inlineStr">
        <is>
          <t>TRANÅS</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27786-2024</t>
        </is>
      </c>
      <c r="B101" t="inlineStr">
        <is>
          <t>avverkningsanmälan</t>
        </is>
      </c>
      <c r="C101" t="inlineStr">
        <is>
          <t>Föryngringsavverkning</t>
        </is>
      </c>
      <c r="D101" s="1" t="n">
        <v>45475</v>
      </c>
      <c r="E101" s="1" t="n">
        <v>46220</v>
      </c>
      <c r="F101" t="inlineStr">
        <is>
          <t>JÖNKÖPINGS LÄN</t>
        </is>
      </c>
      <c r="G101" t="inlineStr">
        <is>
          <t>TRANÅS</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28997-2023</t>
        </is>
      </c>
      <c r="B102" t="inlineStr">
        <is>
          <t>avverkningsanmälan</t>
        </is>
      </c>
      <c r="C102" t="inlineStr">
        <is>
          <t>Avverkning för annat ändamål</t>
        </is>
      </c>
      <c r="D102" s="1" t="n">
        <v>45104</v>
      </c>
      <c r="E102" s="1" t="n">
        <v>46220</v>
      </c>
      <c r="F102" t="inlineStr">
        <is>
          <t>JÖNKÖPINGS LÄN</t>
        </is>
      </c>
      <c r="G102" t="inlineStr">
        <is>
          <t>TRANÅS</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44698-2025</t>
        </is>
      </c>
      <c r="B103" t="inlineStr">
        <is>
          <t>avverkningsanmälan</t>
        </is>
      </c>
      <c r="C103" t="inlineStr">
        <is>
          <t>Föryngringsavverkning</t>
        </is>
      </c>
      <c r="D103" s="1" t="n">
        <v>45917</v>
      </c>
      <c r="E103" s="1" t="n">
        <v>46220</v>
      </c>
      <c r="F103" t="inlineStr">
        <is>
          <t>JÖNKÖPINGS LÄN</t>
        </is>
      </c>
      <c r="G103" t="inlineStr">
        <is>
          <t>TRANÅS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44235-2025</t>
        </is>
      </c>
      <c r="B104" t="inlineStr">
        <is>
          <t>avverkningsanmälan</t>
        </is>
      </c>
      <c r="C104" t="inlineStr">
        <is>
          <t>Föryngringsavverkning</t>
        </is>
      </c>
      <c r="D104" s="1" t="n">
        <v>45915</v>
      </c>
      <c r="E104" s="1" t="n">
        <v>46220</v>
      </c>
      <c r="F104" t="inlineStr">
        <is>
          <t>JÖNKÖPINGS LÄN</t>
        </is>
      </c>
      <c r="G104" t="inlineStr">
        <is>
          <t>TRANÅS</t>
        </is>
      </c>
      <c r="I104" t="n">
        <v>2.3</v>
      </c>
      <c r="J104" t="n">
        <v>0</v>
      </c>
      <c r="K104" t="n">
        <v>0</v>
      </c>
      <c r="L104" t="n">
        <v>0</v>
      </c>
      <c r="M104" t="n">
        <v>0</v>
      </c>
      <c r="N104" t="n">
        <v>0</v>
      </c>
      <c r="O104" t="n">
        <v>0</v>
      </c>
      <c r="P104" t="n">
        <v>0</v>
      </c>
      <c r="Q104" t="n">
        <v>0</v>
      </c>
      <c r="R104" t="n">
        <v>0</v>
      </c>
      <c r="S104" t="n">
        <v>0</v>
      </c>
      <c r="T104" t="n">
        <v>0</v>
      </c>
      <c r="U104" s="2" t="inlineStr"/>
      <c r="W104">
        <f>HYPERLINK("https://klasma.github.io/Logging_0687/kartor/A 44235-2025 karta.png", "A 44235-2025")</f>
        <v/>
      </c>
      <c r="Y104">
        <f>HYPERLINK("https://klasma.github.io/Logging_0687/klagomål/A 44235-2025 FSC-klagomål.docx", "A 44235-2025")</f>
        <v/>
      </c>
      <c r="Z104">
        <f>HYPERLINK("https://klasma.github.io/Logging_0687/klagomålsmail/A 44235-2025 FSC-klagomål mail.docx", "A 44235-2025")</f>
        <v/>
      </c>
      <c r="AA104">
        <f>HYPERLINK("https://klasma.github.io/Logging_0687/tillsyn/A 44235-2025 tillsynsbegäran.docx", "A 44235-2025")</f>
        <v/>
      </c>
      <c r="AB104">
        <f>HYPERLINK("https://klasma.github.io/Logging_0687/tillsynsmail/A 44235-2025 tillsynsbegäran mail.docx", "A 44235-2025")</f>
        <v/>
      </c>
    </row>
    <row r="105" ht="15" customHeight="1">
      <c r="A105" t="inlineStr">
        <is>
          <t>A 54750-2022</t>
        </is>
      </c>
      <c r="B105" t="inlineStr">
        <is>
          <t>avverkningsanmälan</t>
        </is>
      </c>
      <c r="C105" t="inlineStr">
        <is>
          <t>Föryngringsavverkning</t>
        </is>
      </c>
      <c r="D105" s="1" t="n">
        <v>44881</v>
      </c>
      <c r="E105" s="1" t="n">
        <v>46220</v>
      </c>
      <c r="F105" t="inlineStr">
        <is>
          <t>JÖNKÖPINGS LÄN</t>
        </is>
      </c>
      <c r="G105" t="inlineStr">
        <is>
          <t>TRANÅS</t>
        </is>
      </c>
      <c r="I105" t="n">
        <v>3.4</v>
      </c>
      <c r="J105" t="n">
        <v>0</v>
      </c>
      <c r="K105" t="n">
        <v>0</v>
      </c>
      <c r="L105" t="n">
        <v>0</v>
      </c>
      <c r="M105" t="n">
        <v>0</v>
      </c>
      <c r="N105" t="n">
        <v>0</v>
      </c>
      <c r="O105" t="n">
        <v>0</v>
      </c>
      <c r="P105" t="n">
        <v>0</v>
      </c>
      <c r="Q105" t="n">
        <v>0</v>
      </c>
      <c r="R105" t="n">
        <v>0</v>
      </c>
      <c r="S105" t="n">
        <v>0</v>
      </c>
      <c r="T105" t="n">
        <v>0</v>
      </c>
      <c r="U105" s="2" t="inlineStr"/>
    </row>
    <row r="106" ht="15" customHeight="1">
      <c r="A106" t="inlineStr">
        <is>
          <t>A 5213-2024</t>
        </is>
      </c>
      <c r="B106" t="inlineStr">
        <is>
          <t>avverkningsanmälan</t>
        </is>
      </c>
      <c r="C106" t="inlineStr">
        <is>
          <t>Föryngringsavverkning</t>
        </is>
      </c>
      <c r="D106" s="1" t="n">
        <v>45330</v>
      </c>
      <c r="E106" s="1" t="n">
        <v>46220</v>
      </c>
      <c r="F106" t="inlineStr">
        <is>
          <t>JÖNKÖPINGS LÄN</t>
        </is>
      </c>
      <c r="G106" t="inlineStr">
        <is>
          <t>TRANÅS</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s="2" t="inlineStr"/>
    </row>
    <row r="107" ht="15" customHeight="1">
      <c r="A107" t="inlineStr">
        <is>
          <t>A 2476-2026</t>
        </is>
      </c>
      <c r="B107" t="inlineStr">
        <is>
          <t>avverkningsanmälan</t>
        </is>
      </c>
      <c r="C107" t="inlineStr">
        <is>
          <t>Föryngringsavverkning</t>
        </is>
      </c>
      <c r="D107" s="1" t="n">
        <v>46037</v>
      </c>
      <c r="E107" s="1" t="n">
        <v>46220</v>
      </c>
      <c r="F107" t="inlineStr">
        <is>
          <t>JÖNKÖPINGS LÄN</t>
        </is>
      </c>
      <c r="G107" t="inlineStr">
        <is>
          <t>TRANÅS</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19323-2025</t>
        </is>
      </c>
      <c r="B108" t="inlineStr">
        <is>
          <t>avverkningsanmälan</t>
        </is>
      </c>
      <c r="C108" t="inlineStr">
        <is>
          <t>Föryngringsavverkning</t>
        </is>
      </c>
      <c r="D108" s="1" t="n">
        <v>45769</v>
      </c>
      <c r="E108" s="1" t="n">
        <v>46220</v>
      </c>
      <c r="F108" t="inlineStr">
        <is>
          <t>JÖNKÖPINGS LÄN</t>
        </is>
      </c>
      <c r="G108" t="inlineStr">
        <is>
          <t>TRANÅS</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46075-2025</t>
        </is>
      </c>
      <c r="B109" t="inlineStr">
        <is>
          <t>avverkningsanmälan</t>
        </is>
      </c>
      <c r="C109" t="inlineStr">
        <is>
          <t>Föryngringsavverkning</t>
        </is>
      </c>
      <c r="D109" s="1" t="n">
        <v>45924</v>
      </c>
      <c r="E109" s="1" t="n">
        <v>46220</v>
      </c>
      <c r="F109" t="inlineStr">
        <is>
          <t>JÖNKÖPINGS LÄN</t>
        </is>
      </c>
      <c r="G109" t="inlineStr">
        <is>
          <t>TRANÅS</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46337-2025</t>
        </is>
      </c>
      <c r="B110" t="inlineStr">
        <is>
          <t>avverkningsanmälan</t>
        </is>
      </c>
      <c r="C110" t="inlineStr">
        <is>
          <t>Föryngringsavverkning</t>
        </is>
      </c>
      <c r="D110" s="1" t="n">
        <v>45925</v>
      </c>
      <c r="E110" s="1" t="n">
        <v>46220</v>
      </c>
      <c r="F110" t="inlineStr">
        <is>
          <t>JÖNKÖPINGS LÄN</t>
        </is>
      </c>
      <c r="G110" t="inlineStr">
        <is>
          <t>TRANÅS</t>
        </is>
      </c>
      <c r="H110" t="inlineStr">
        <is>
          <t>Allmännings- och besparingsskogar</t>
        </is>
      </c>
      <c r="I110" t="n">
        <v>0.7</v>
      </c>
      <c r="J110" t="n">
        <v>0</v>
      </c>
      <c r="K110" t="n">
        <v>0</v>
      </c>
      <c r="L110" t="n">
        <v>0</v>
      </c>
      <c r="M110" t="n">
        <v>0</v>
      </c>
      <c r="N110" t="n">
        <v>0</v>
      </c>
      <c r="O110" t="n">
        <v>0</v>
      </c>
      <c r="P110" t="n">
        <v>0</v>
      </c>
      <c r="Q110" t="n">
        <v>0</v>
      </c>
      <c r="R110" t="n">
        <v>0</v>
      </c>
      <c r="S110" t="n">
        <v>0</v>
      </c>
      <c r="T110" t="n">
        <v>0</v>
      </c>
      <c r="U110" s="2" t="inlineStr"/>
    </row>
    <row r="111" ht="15" customHeight="1">
      <c r="A111" t="inlineStr">
        <is>
          <t>A 46333-2025</t>
        </is>
      </c>
      <c r="B111" t="inlineStr">
        <is>
          <t>avverkningsanmälan</t>
        </is>
      </c>
      <c r="C111" t="inlineStr">
        <is>
          <t>Föryngringsavverkning</t>
        </is>
      </c>
      <c r="D111" s="1" t="n">
        <v>45925</v>
      </c>
      <c r="E111" s="1" t="n">
        <v>46220</v>
      </c>
      <c r="F111" t="inlineStr">
        <is>
          <t>JÖNKÖPINGS LÄN</t>
        </is>
      </c>
      <c r="G111" t="inlineStr">
        <is>
          <t>TRANÅS</t>
        </is>
      </c>
      <c r="H111" t="inlineStr">
        <is>
          <t>Allmännings- och besparingsskogar</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46330-2025</t>
        </is>
      </c>
      <c r="B112" t="inlineStr">
        <is>
          <t>avverkningsanmälan</t>
        </is>
      </c>
      <c r="C112" t="inlineStr">
        <is>
          <t>Föryngringsavverkning</t>
        </is>
      </c>
      <c r="D112" s="1" t="n">
        <v>45925</v>
      </c>
      <c r="E112" s="1" t="n">
        <v>46220</v>
      </c>
      <c r="F112" t="inlineStr">
        <is>
          <t>JÖNKÖPINGS LÄN</t>
        </is>
      </c>
      <c r="G112" t="inlineStr">
        <is>
          <t>TRANÅS</t>
        </is>
      </c>
      <c r="H112" t="inlineStr">
        <is>
          <t>Allmännings- och besparingsskogar</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17617-2023</t>
        </is>
      </c>
      <c r="B113" t="inlineStr">
        <is>
          <t>avverkningsanmälan</t>
        </is>
      </c>
      <c r="C113" t="inlineStr">
        <is>
          <t>Föryngringsavverkning</t>
        </is>
      </c>
      <c r="D113" s="1" t="n">
        <v>45036</v>
      </c>
      <c r="E113" s="1" t="n">
        <v>46220</v>
      </c>
      <c r="F113" t="inlineStr">
        <is>
          <t>JÖNKÖPINGS LÄN</t>
        </is>
      </c>
      <c r="G113" t="inlineStr">
        <is>
          <t>TRANÅS</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1516-2024</t>
        </is>
      </c>
      <c r="B114" t="inlineStr">
        <is>
          <t>avverkningsanmälan</t>
        </is>
      </c>
      <c r="C114" t="inlineStr">
        <is>
          <t>Föryngringsavverkning</t>
        </is>
      </c>
      <c r="D114" s="1" t="n">
        <v>45306</v>
      </c>
      <c r="E114" s="1" t="n">
        <v>46220</v>
      </c>
      <c r="F114" t="inlineStr">
        <is>
          <t>JÖNKÖPINGS LÄN</t>
        </is>
      </c>
      <c r="G114" t="inlineStr">
        <is>
          <t>TRANÅS</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47753-2025</t>
        </is>
      </c>
      <c r="B115" t="inlineStr">
        <is>
          <t>avverkningsanmälan</t>
        </is>
      </c>
      <c r="C115" t="inlineStr">
        <is>
          <t>Föryngringsavverkning</t>
        </is>
      </c>
      <c r="D115" s="1" t="n">
        <v>45931</v>
      </c>
      <c r="E115" s="1" t="n">
        <v>46220</v>
      </c>
      <c r="F115" t="inlineStr">
        <is>
          <t>JÖNKÖPINGS LÄN</t>
        </is>
      </c>
      <c r="G115" t="inlineStr">
        <is>
          <t>TRANÅS</t>
        </is>
      </c>
      <c r="H115" t="inlineStr">
        <is>
          <t>Allmännings- och besparingsskogar</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49118-2025</t>
        </is>
      </c>
      <c r="B116" t="inlineStr">
        <is>
          <t>avverkningsanmälan</t>
        </is>
      </c>
      <c r="C116" t="inlineStr">
        <is>
          <t>Föryngringsavverkning</t>
        </is>
      </c>
      <c r="D116" s="1" t="n">
        <v>45937</v>
      </c>
      <c r="E116" s="1" t="n">
        <v>46220</v>
      </c>
      <c r="F116" t="inlineStr">
        <is>
          <t>JÖNKÖPINGS LÄN</t>
        </is>
      </c>
      <c r="G116" t="inlineStr">
        <is>
          <t>TRANÅS</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40098-2021</t>
        </is>
      </c>
      <c r="B117" t="inlineStr">
        <is>
          <t>avverkningsanmälan</t>
        </is>
      </c>
      <c r="C117" t="inlineStr">
        <is>
          <t>Föryngringsavverkning</t>
        </is>
      </c>
      <c r="D117" s="1" t="n">
        <v>44418</v>
      </c>
      <c r="E117" s="1" t="n">
        <v>46220</v>
      </c>
      <c r="F117" t="inlineStr">
        <is>
          <t>JÖNKÖPINGS LÄN</t>
        </is>
      </c>
      <c r="G117" t="inlineStr">
        <is>
          <t>TRANÅS</t>
        </is>
      </c>
      <c r="I117" t="n">
        <v>2.7</v>
      </c>
      <c r="J117" t="n">
        <v>0</v>
      </c>
      <c r="K117" t="n">
        <v>0</v>
      </c>
      <c r="L117" t="n">
        <v>0</v>
      </c>
      <c r="M117" t="n">
        <v>0</v>
      </c>
      <c r="N117" t="n">
        <v>0</v>
      </c>
      <c r="O117" t="n">
        <v>0</v>
      </c>
      <c r="P117" t="n">
        <v>0</v>
      </c>
      <c r="Q117" t="n">
        <v>0</v>
      </c>
      <c r="R117" t="n">
        <v>0</v>
      </c>
      <c r="S117" t="n">
        <v>0</v>
      </c>
      <c r="T117" t="n">
        <v>0</v>
      </c>
      <c r="U117" s="2" t="inlineStr"/>
    </row>
    <row r="118" ht="15" customHeight="1">
      <c r="A118" t="inlineStr">
        <is>
          <t>A 49610-2025</t>
        </is>
      </c>
      <c r="B118" t="inlineStr">
        <is>
          <t>avverkningsanmälan</t>
        </is>
      </c>
      <c r="C118" t="inlineStr">
        <is>
          <t>Avverkning för att bevara och utveckla /försöksver</t>
        </is>
      </c>
      <c r="D118" s="1" t="n">
        <v>45939</v>
      </c>
      <c r="E118" s="1" t="n">
        <v>46220</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2365-2025</t>
        </is>
      </c>
      <c r="B119" t="inlineStr">
        <is>
          <t>avverkningsanmälan</t>
        </is>
      </c>
      <c r="C119" t="inlineStr">
        <is>
          <t>Föryngringsavverkning</t>
        </is>
      </c>
      <c r="D119" s="1" t="n">
        <v>45673</v>
      </c>
      <c r="E119" s="1" t="n">
        <v>46220</v>
      </c>
      <c r="F119" t="inlineStr">
        <is>
          <t>JÖNKÖPINGS LÄN</t>
        </is>
      </c>
      <c r="G119" t="inlineStr">
        <is>
          <t>TRANÅS</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12654-2024</t>
        </is>
      </c>
      <c r="B120" t="inlineStr">
        <is>
          <t>avverkningsanmälan</t>
        </is>
      </c>
      <c r="C120" t="inlineStr">
        <is>
          <t>Föryngringsavverkning</t>
        </is>
      </c>
      <c r="D120" s="1" t="n">
        <v>45379</v>
      </c>
      <c r="E120" s="1" t="n">
        <v>46220</v>
      </c>
      <c r="F120" t="inlineStr">
        <is>
          <t>JÖNKÖPINGS LÄN</t>
        </is>
      </c>
      <c r="G120" t="inlineStr">
        <is>
          <t>TRANÅS</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49844-2025</t>
        </is>
      </c>
      <c r="B121" t="inlineStr">
        <is>
          <t>avverkningsanmälan</t>
        </is>
      </c>
      <c r="C121" t="inlineStr">
        <is>
          <t>Föryngringsavverkning</t>
        </is>
      </c>
      <c r="D121" s="1" t="n">
        <v>45940</v>
      </c>
      <c r="E121" s="1" t="n">
        <v>46220</v>
      </c>
      <c r="F121" t="inlineStr">
        <is>
          <t>JÖNKÖPINGS LÄN</t>
        </is>
      </c>
      <c r="G121" t="inlineStr">
        <is>
          <t>TRANÅS</t>
        </is>
      </c>
      <c r="H121" t="inlineStr">
        <is>
          <t>Kyrkan</t>
        </is>
      </c>
      <c r="I121" t="n">
        <v>6</v>
      </c>
      <c r="J121" t="n">
        <v>0</v>
      </c>
      <c r="K121" t="n">
        <v>0</v>
      </c>
      <c r="L121" t="n">
        <v>0</v>
      </c>
      <c r="M121" t="n">
        <v>0</v>
      </c>
      <c r="N121" t="n">
        <v>0</v>
      </c>
      <c r="O121" t="n">
        <v>0</v>
      </c>
      <c r="P121" t="n">
        <v>0</v>
      </c>
      <c r="Q121" t="n">
        <v>0</v>
      </c>
      <c r="R121" t="n">
        <v>0</v>
      </c>
      <c r="S121" t="n">
        <v>0</v>
      </c>
      <c r="T121" t="n">
        <v>0</v>
      </c>
      <c r="U121" s="2" t="inlineStr"/>
    </row>
    <row r="122" ht="15" customHeight="1">
      <c r="A122" t="inlineStr">
        <is>
          <t>A 3458-2026</t>
        </is>
      </c>
      <c r="B122" t="inlineStr">
        <is>
          <t>avverkningsanmälan</t>
        </is>
      </c>
      <c r="C122" t="inlineStr">
        <is>
          <t>Avverkning för annat ändamål</t>
        </is>
      </c>
      <c r="D122" s="1" t="n">
        <v>46042</v>
      </c>
      <c r="E122" s="1" t="n">
        <v>46220</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28139-2023</t>
        </is>
      </c>
      <c r="B123" t="inlineStr">
        <is>
          <t>avverkningsanmälan</t>
        </is>
      </c>
      <c r="C123" t="inlineStr">
        <is>
          <t>Föryngringsavverkning</t>
        </is>
      </c>
      <c r="D123" s="1" t="n">
        <v>45099</v>
      </c>
      <c r="E123" s="1" t="n">
        <v>46220</v>
      </c>
      <c r="F123" t="inlineStr">
        <is>
          <t>JÖNKÖPINGS LÄN</t>
        </is>
      </c>
      <c r="G123" t="inlineStr">
        <is>
          <t>TRANÅS</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50749-2025</t>
        </is>
      </c>
      <c r="B124" t="inlineStr">
        <is>
          <t>avverkningsanmälan</t>
        </is>
      </c>
      <c r="C124" t="inlineStr">
        <is>
          <t>Föryngringsavverkning</t>
        </is>
      </c>
      <c r="D124" s="1" t="n">
        <v>45946</v>
      </c>
      <c r="E124" s="1" t="n">
        <v>46220</v>
      </c>
      <c r="F124" t="inlineStr">
        <is>
          <t>JÖNKÖPINGS LÄN</t>
        </is>
      </c>
      <c r="G124" t="inlineStr">
        <is>
          <t>TRANÅS</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70037-2021</t>
        </is>
      </c>
      <c r="B125" t="inlineStr">
        <is>
          <t>avverkningsanmälan</t>
        </is>
      </c>
      <c r="C125" t="inlineStr">
        <is>
          <t>Föryngringsavverkning</t>
        </is>
      </c>
      <c r="D125" s="1" t="n">
        <v>44533</v>
      </c>
      <c r="E125" s="1" t="n">
        <v>46220</v>
      </c>
      <c r="F125" t="inlineStr">
        <is>
          <t>JÖNKÖPINGS LÄN</t>
        </is>
      </c>
      <c r="G125" t="inlineStr">
        <is>
          <t>TRANÅS</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48751-2021</t>
        </is>
      </c>
      <c r="B126" t="inlineStr">
        <is>
          <t>avverkningsanmälan</t>
        </is>
      </c>
      <c r="C126" t="inlineStr">
        <is>
          <t>Föryngringsavverkning</t>
        </is>
      </c>
      <c r="D126" s="1" t="n">
        <v>44452</v>
      </c>
      <c r="E126" s="1" t="n">
        <v>46220</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59171-2024</t>
        </is>
      </c>
      <c r="B127" t="inlineStr">
        <is>
          <t>avverkningsanmälan</t>
        </is>
      </c>
      <c r="C127" t="inlineStr">
        <is>
          <t>Avverkning för annat ändamål</t>
        </is>
      </c>
      <c r="D127" s="1" t="n">
        <v>45637</v>
      </c>
      <c r="E127" s="1" t="n">
        <v>46220</v>
      </c>
      <c r="F127" t="inlineStr">
        <is>
          <t>JÖNKÖPINGS LÄN</t>
        </is>
      </c>
      <c r="G127" t="inlineStr">
        <is>
          <t>TRANÅS</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21876-2023</t>
        </is>
      </c>
      <c r="B128" t="inlineStr">
        <is>
          <t>avverkningsanmälan</t>
        </is>
      </c>
      <c r="C128" t="inlineStr">
        <is>
          <t>Avverkning för annat ändamål</t>
        </is>
      </c>
      <c r="D128" s="1" t="n">
        <v>45068</v>
      </c>
      <c r="E128" s="1" t="n">
        <v>46220</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s="2" t="inlineStr"/>
    </row>
    <row r="129" ht="15" customHeight="1">
      <c r="A129" t="inlineStr">
        <is>
          <t>A 22671-2025</t>
        </is>
      </c>
      <c r="B129" t="inlineStr">
        <is>
          <t>avverkningsanmälan</t>
        </is>
      </c>
      <c r="C129" t="inlineStr">
        <is>
          <t>Föryngringsavverkning</t>
        </is>
      </c>
      <c r="D129" s="1" t="n">
        <v>45789</v>
      </c>
      <c r="E129" s="1" t="n">
        <v>46220</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s="2" t="inlineStr"/>
    </row>
    <row r="130" ht="15" customHeight="1">
      <c r="A130" t="inlineStr">
        <is>
          <t>A 52188-2025</t>
        </is>
      </c>
      <c r="B130" t="inlineStr">
        <is>
          <t>avverkningsanmälan</t>
        </is>
      </c>
      <c r="C130" t="inlineStr">
        <is>
          <t>Föryngringsavverkning</t>
        </is>
      </c>
      <c r="D130" s="1" t="n">
        <v>45953</v>
      </c>
      <c r="E130" s="1" t="n">
        <v>46220</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52515-2025</t>
        </is>
      </c>
      <c r="B131" t="inlineStr">
        <is>
          <t>avverkningsanmälan</t>
        </is>
      </c>
      <c r="C131" t="inlineStr">
        <is>
          <t>Föryngringsavverkning</t>
        </is>
      </c>
      <c r="D131" s="1" t="n">
        <v>45954</v>
      </c>
      <c r="E131" s="1" t="n">
        <v>46220</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s="2" t="inlineStr"/>
    </row>
    <row r="132" ht="15" customHeight="1">
      <c r="A132" t="inlineStr">
        <is>
          <t>A 52497-2025</t>
        </is>
      </c>
      <c r="B132" t="inlineStr">
        <is>
          <t>avverkningsanmälan</t>
        </is>
      </c>
      <c r="C132" t="inlineStr">
        <is>
          <t>Föryngringsavverkning</t>
        </is>
      </c>
      <c r="D132" s="1" t="n">
        <v>45954</v>
      </c>
      <c r="E132" s="1" t="n">
        <v>46220</v>
      </c>
      <c r="F132" t="inlineStr">
        <is>
          <t>JÖNKÖPINGS LÄN</t>
        </is>
      </c>
      <c r="G132" t="inlineStr">
        <is>
          <t>TRANÅS</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53447-2025</t>
        </is>
      </c>
      <c r="B133" t="inlineStr">
        <is>
          <t>avverkningsanmälan</t>
        </is>
      </c>
      <c r="C133" t="inlineStr">
        <is>
          <t>Föryngringsavverkning</t>
        </is>
      </c>
      <c r="D133" s="1" t="n">
        <v>45959</v>
      </c>
      <c r="E133" s="1" t="n">
        <v>46220</v>
      </c>
      <c r="F133" t="inlineStr">
        <is>
          <t>JÖNKÖPINGS LÄN</t>
        </is>
      </c>
      <c r="G133" t="inlineStr">
        <is>
          <t>TRANÅS</t>
        </is>
      </c>
      <c r="H133" t="inlineStr">
        <is>
          <t>Allmännings- och besparingsskogar</t>
        </is>
      </c>
      <c r="I133" t="n">
        <v>4.3</v>
      </c>
      <c r="J133" t="n">
        <v>0</v>
      </c>
      <c r="K133" t="n">
        <v>0</v>
      </c>
      <c r="L133" t="n">
        <v>0</v>
      </c>
      <c r="M133" t="n">
        <v>0</v>
      </c>
      <c r="N133" t="n">
        <v>0</v>
      </c>
      <c r="O133" t="n">
        <v>0</v>
      </c>
      <c r="P133" t="n">
        <v>0</v>
      </c>
      <c r="Q133" t="n">
        <v>0</v>
      </c>
      <c r="R133" t="n">
        <v>0</v>
      </c>
      <c r="S133" t="n">
        <v>0</v>
      </c>
      <c r="T133" t="n">
        <v>0</v>
      </c>
      <c r="U133" s="2" t="inlineStr"/>
    </row>
    <row r="134" ht="15" customHeight="1">
      <c r="A134" t="inlineStr">
        <is>
          <t>A 6396-2026</t>
        </is>
      </c>
      <c r="B134" t="inlineStr">
        <is>
          <t>avverkningsanmälan</t>
        </is>
      </c>
      <c r="C134" t="inlineStr">
        <is>
          <t>Föryngringsavverkning</t>
        </is>
      </c>
      <c r="D134" s="1" t="n">
        <v>46055</v>
      </c>
      <c r="E134" s="1" t="n">
        <v>46220</v>
      </c>
      <c r="F134" t="inlineStr">
        <is>
          <t>JÖNKÖPINGS LÄN</t>
        </is>
      </c>
      <c r="G134" t="inlineStr">
        <is>
          <t>TRANÅS</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54351-2025</t>
        </is>
      </c>
      <c r="B135" t="inlineStr">
        <is>
          <t>avverkningsanmälan</t>
        </is>
      </c>
      <c r="C135" t="inlineStr">
        <is>
          <t>Föryngringsavverkning</t>
        </is>
      </c>
      <c r="D135" s="1" t="n">
        <v>45965</v>
      </c>
      <c r="E135" s="1" t="n">
        <v>46220</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6110-2026</t>
        </is>
      </c>
      <c r="B136" t="inlineStr">
        <is>
          <t>avverkningsanmälan</t>
        </is>
      </c>
      <c r="C136" t="inlineStr">
        <is>
          <t>Föryngringsavverkning</t>
        </is>
      </c>
      <c r="D136" s="1" t="n">
        <v>46053</v>
      </c>
      <c r="E136" s="1" t="n">
        <v>46220</v>
      </c>
      <c r="F136" t="inlineStr">
        <is>
          <t>JÖNKÖPINGS LÄN</t>
        </is>
      </c>
      <c r="G136" t="inlineStr">
        <is>
          <t>TRANÅS</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20663-2022</t>
        </is>
      </c>
      <c r="B137" t="inlineStr">
        <is>
          <t>avverkningsanmälan</t>
        </is>
      </c>
      <c r="C137" t="inlineStr">
        <is>
          <t>Föryngringsavverkning</t>
        </is>
      </c>
      <c r="D137" s="1" t="n">
        <v>44700</v>
      </c>
      <c r="E137" s="1" t="n">
        <v>46220</v>
      </c>
      <c r="F137" t="inlineStr">
        <is>
          <t>JÖNKÖPINGS LÄN</t>
        </is>
      </c>
      <c r="G137" t="inlineStr">
        <is>
          <t>TRANÅS</t>
        </is>
      </c>
      <c r="H137" t="inlineStr">
        <is>
          <t>Allmännings- och besparingsskogar</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56148-2025</t>
        </is>
      </c>
      <c r="B138" t="inlineStr">
        <is>
          <t>avverkningsanmälan</t>
        </is>
      </c>
      <c r="C138" t="inlineStr">
        <is>
          <t>Föryngringsavverkning</t>
        </is>
      </c>
      <c r="D138" s="1" t="n">
        <v>45974</v>
      </c>
      <c r="E138" s="1" t="n">
        <v>46220</v>
      </c>
      <c r="F138" t="inlineStr">
        <is>
          <t>JÖNKÖPINGS LÄN</t>
        </is>
      </c>
      <c r="G138" t="inlineStr">
        <is>
          <t>TRANÅS</t>
        </is>
      </c>
      <c r="I138" t="n">
        <v>3.6</v>
      </c>
      <c r="J138" t="n">
        <v>0</v>
      </c>
      <c r="K138" t="n">
        <v>0</v>
      </c>
      <c r="L138" t="n">
        <v>0</v>
      </c>
      <c r="M138" t="n">
        <v>0</v>
      </c>
      <c r="N138" t="n">
        <v>0</v>
      </c>
      <c r="O138" t="n">
        <v>0</v>
      </c>
      <c r="P138" t="n">
        <v>0</v>
      </c>
      <c r="Q138" t="n">
        <v>0</v>
      </c>
      <c r="R138" t="n">
        <v>0</v>
      </c>
      <c r="S138" t="n">
        <v>0</v>
      </c>
      <c r="T138" t="n">
        <v>0</v>
      </c>
      <c r="U138" s="2" t="inlineStr"/>
    </row>
    <row r="139" ht="15" customHeight="1">
      <c r="A139" t="inlineStr">
        <is>
          <t>A 11606-2023</t>
        </is>
      </c>
      <c r="B139" t="inlineStr">
        <is>
          <t>avverkningsanmälan</t>
        </is>
      </c>
      <c r="C139" t="inlineStr">
        <is>
          <t>Föryngringsavverkning</t>
        </is>
      </c>
      <c r="D139" s="1" t="n">
        <v>44992</v>
      </c>
      <c r="E139" s="1" t="n">
        <v>46220</v>
      </c>
      <c r="F139" t="inlineStr">
        <is>
          <t>JÖNKÖPINGS LÄN</t>
        </is>
      </c>
      <c r="G139" t="inlineStr">
        <is>
          <t>TRANÅS</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8999-2025</t>
        </is>
      </c>
      <c r="B140" t="inlineStr">
        <is>
          <t>avverkningsanmälan</t>
        </is>
      </c>
      <c r="C140" t="inlineStr">
        <is>
          <t>Föryngringsavverkning</t>
        </is>
      </c>
      <c r="D140" s="1" t="n">
        <v>45712</v>
      </c>
      <c r="E140" s="1" t="n">
        <v>46220</v>
      </c>
      <c r="F140" t="inlineStr">
        <is>
          <t>JÖNKÖPINGS LÄN</t>
        </is>
      </c>
      <c r="G140" t="inlineStr">
        <is>
          <t>TRANÅS</t>
        </is>
      </c>
      <c r="I140" t="n">
        <v>3.2</v>
      </c>
      <c r="J140" t="n">
        <v>0</v>
      </c>
      <c r="K140" t="n">
        <v>0</v>
      </c>
      <c r="L140" t="n">
        <v>0</v>
      </c>
      <c r="M140" t="n">
        <v>0</v>
      </c>
      <c r="N140" t="n">
        <v>0</v>
      </c>
      <c r="O140" t="n">
        <v>0</v>
      </c>
      <c r="P140" t="n">
        <v>0</v>
      </c>
      <c r="Q140" t="n">
        <v>0</v>
      </c>
      <c r="R140" t="n">
        <v>0</v>
      </c>
      <c r="S140" t="n">
        <v>0</v>
      </c>
      <c r="T140" t="n">
        <v>0</v>
      </c>
      <c r="U140" s="2" t="inlineStr"/>
    </row>
    <row r="141" ht="15" customHeight="1">
      <c r="A141" t="inlineStr">
        <is>
          <t>A 24967-2023</t>
        </is>
      </c>
      <c r="B141" t="inlineStr">
        <is>
          <t>avverkningsanmälan</t>
        </is>
      </c>
      <c r="C141" t="inlineStr">
        <is>
          <t>Föryngringsavverkning</t>
        </is>
      </c>
      <c r="D141" s="1" t="n">
        <v>45085</v>
      </c>
      <c r="E141" s="1" t="n">
        <v>46220</v>
      </c>
      <c r="F141" t="inlineStr">
        <is>
          <t>JÖNKÖPINGS LÄN</t>
        </is>
      </c>
      <c r="G141" t="inlineStr">
        <is>
          <t>TRANÅS</t>
        </is>
      </c>
      <c r="H141" t="inlineStr">
        <is>
          <t>Kommuner</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57648-2025</t>
        </is>
      </c>
      <c r="B142" t="inlineStr">
        <is>
          <t>avverkningsanmälan</t>
        </is>
      </c>
      <c r="C142" t="inlineStr">
        <is>
          <t>Avverkning för annat ändamål</t>
        </is>
      </c>
      <c r="D142" s="1" t="n">
        <v>45981</v>
      </c>
      <c r="E142" s="1" t="n">
        <v>46220</v>
      </c>
      <c r="F142" t="inlineStr">
        <is>
          <t>JÖNKÖPINGS LÄN</t>
        </is>
      </c>
      <c r="G142" t="inlineStr">
        <is>
          <t>TRANÅS</t>
        </is>
      </c>
      <c r="I142" t="n">
        <v>7.7</v>
      </c>
      <c r="J142" t="n">
        <v>0</v>
      </c>
      <c r="K142" t="n">
        <v>0</v>
      </c>
      <c r="L142" t="n">
        <v>0</v>
      </c>
      <c r="M142" t="n">
        <v>0</v>
      </c>
      <c r="N142" t="n">
        <v>0</v>
      </c>
      <c r="O142" t="n">
        <v>0</v>
      </c>
      <c r="P142" t="n">
        <v>0</v>
      </c>
      <c r="Q142" t="n">
        <v>0</v>
      </c>
      <c r="R142" t="n">
        <v>0</v>
      </c>
      <c r="S142" t="n">
        <v>0</v>
      </c>
      <c r="T142" t="n">
        <v>0</v>
      </c>
      <c r="U142" s="2" t="inlineStr"/>
    </row>
    <row r="143" ht="15" customHeight="1">
      <c r="A143" t="inlineStr">
        <is>
          <t>A 7578-2026</t>
        </is>
      </c>
      <c r="B143" t="inlineStr">
        <is>
          <t>avverkningsanmälan</t>
        </is>
      </c>
      <c r="C143" t="inlineStr">
        <is>
          <t>Föryngringsavverkning</t>
        </is>
      </c>
      <c r="D143" s="1" t="n">
        <v>46061</v>
      </c>
      <c r="E143" s="1" t="n">
        <v>46220</v>
      </c>
      <c r="F143" t="inlineStr">
        <is>
          <t>JÖNKÖPINGS LÄN</t>
        </is>
      </c>
      <c r="G143" t="inlineStr">
        <is>
          <t>TRANÅS</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21012-2022</t>
        </is>
      </c>
      <c r="B144" t="inlineStr">
        <is>
          <t>avverkningsanmälan</t>
        </is>
      </c>
      <c r="C144" t="inlineStr">
        <is>
          <t>Föryngringsavverkning</t>
        </is>
      </c>
      <c r="D144" s="1" t="n">
        <v>44701</v>
      </c>
      <c r="E144" s="1" t="n">
        <v>46220</v>
      </c>
      <c r="F144" t="inlineStr">
        <is>
          <t>JÖNKÖPINGS LÄN</t>
        </is>
      </c>
      <c r="G144" t="inlineStr">
        <is>
          <t>TRANÅS</t>
        </is>
      </c>
      <c r="I144" t="n">
        <v>7.1</v>
      </c>
      <c r="J144" t="n">
        <v>0</v>
      </c>
      <c r="K144" t="n">
        <v>0</v>
      </c>
      <c r="L144" t="n">
        <v>0</v>
      </c>
      <c r="M144" t="n">
        <v>0</v>
      </c>
      <c r="N144" t="n">
        <v>0</v>
      </c>
      <c r="O144" t="n">
        <v>0</v>
      </c>
      <c r="P144" t="n">
        <v>0</v>
      </c>
      <c r="Q144" t="n">
        <v>0</v>
      </c>
      <c r="R144" t="n">
        <v>0</v>
      </c>
      <c r="S144" t="n">
        <v>0</v>
      </c>
      <c r="T144" t="n">
        <v>0</v>
      </c>
      <c r="U144" s="2" t="inlineStr"/>
    </row>
    <row r="145" ht="15" customHeight="1">
      <c r="A145" t="inlineStr">
        <is>
          <t>A 37221-2024</t>
        </is>
      </c>
      <c r="B145" t="inlineStr">
        <is>
          <t>avverkningsanmälan</t>
        </is>
      </c>
      <c r="C145" t="inlineStr">
        <is>
          <t>Föryngringsavverkning</t>
        </is>
      </c>
      <c r="D145" s="1" t="n">
        <v>45539</v>
      </c>
      <c r="E145" s="1" t="n">
        <v>46220</v>
      </c>
      <c r="F145" t="inlineStr">
        <is>
          <t>JÖNKÖPINGS LÄN</t>
        </is>
      </c>
      <c r="G145" t="inlineStr">
        <is>
          <t>TRANÅS</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37160-2023</t>
        </is>
      </c>
      <c r="B146" t="inlineStr">
        <is>
          <t>avverkningsanmälan</t>
        </is>
      </c>
      <c r="C146" t="inlineStr">
        <is>
          <t>Föryngringsavverkning</t>
        </is>
      </c>
      <c r="D146" s="1" t="n">
        <v>45154</v>
      </c>
      <c r="E146" s="1" t="n">
        <v>46220</v>
      </c>
      <c r="F146" t="inlineStr">
        <is>
          <t>JÖNKÖPINGS LÄN</t>
        </is>
      </c>
      <c r="G146" t="inlineStr">
        <is>
          <t>TRANÅS</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37949-2023</t>
        </is>
      </c>
      <c r="B147" t="inlineStr">
        <is>
          <t>avverkningsanmälan</t>
        </is>
      </c>
      <c r="C147" t="inlineStr">
        <is>
          <t>Föryngringsavverkning</t>
        </is>
      </c>
      <c r="D147" s="1" t="n">
        <v>45159</v>
      </c>
      <c r="E147" s="1" t="n">
        <v>46220</v>
      </c>
      <c r="F147" t="inlineStr">
        <is>
          <t>JÖNKÖPINGS LÄN</t>
        </is>
      </c>
      <c r="G147" t="inlineStr">
        <is>
          <t>TRANÅS</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59272-2025</t>
        </is>
      </c>
      <c r="B148" t="inlineStr">
        <is>
          <t>avverkningsanmälan</t>
        </is>
      </c>
      <c r="C148" t="inlineStr">
        <is>
          <t>Föryngringsavverkning</t>
        </is>
      </c>
      <c r="D148" s="1" t="n">
        <v>45988</v>
      </c>
      <c r="E148" s="1" t="n">
        <v>46220</v>
      </c>
      <c r="F148" t="inlineStr">
        <is>
          <t>JÖNKÖPINGS LÄN</t>
        </is>
      </c>
      <c r="G148" t="inlineStr">
        <is>
          <t>TRANÅS</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8442-2026</t>
        </is>
      </c>
      <c r="B149" t="inlineStr">
        <is>
          <t>avverkningsanmälan</t>
        </is>
      </c>
      <c r="C149" t="inlineStr">
        <is>
          <t>Föryngringsavverkning</t>
        </is>
      </c>
      <c r="D149" s="1" t="n">
        <v>46065</v>
      </c>
      <c r="E149" s="1" t="n">
        <v>46220</v>
      </c>
      <c r="F149" t="inlineStr">
        <is>
          <t>JÖNKÖPINGS LÄN</t>
        </is>
      </c>
      <c r="G149" t="inlineStr">
        <is>
          <t>TRANÅS</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8446-2026</t>
        </is>
      </c>
      <c r="B150" t="inlineStr">
        <is>
          <t>avverkningsanmälan</t>
        </is>
      </c>
      <c r="C150" t="inlineStr">
        <is>
          <t>Föryngringsavverkning</t>
        </is>
      </c>
      <c r="D150" s="1" t="n">
        <v>46065</v>
      </c>
      <c r="E150" s="1" t="n">
        <v>46220</v>
      </c>
      <c r="F150" t="inlineStr">
        <is>
          <t>JÖNKÖPINGS LÄN</t>
        </is>
      </c>
      <c r="G150" t="inlineStr">
        <is>
          <t>TRANÅS</t>
        </is>
      </c>
      <c r="I150" t="n">
        <v>4.1</v>
      </c>
      <c r="J150" t="n">
        <v>0</v>
      </c>
      <c r="K150" t="n">
        <v>0</v>
      </c>
      <c r="L150" t="n">
        <v>0</v>
      </c>
      <c r="M150" t="n">
        <v>0</v>
      </c>
      <c r="N150" t="n">
        <v>0</v>
      </c>
      <c r="O150" t="n">
        <v>0</v>
      </c>
      <c r="P150" t="n">
        <v>0</v>
      </c>
      <c r="Q150" t="n">
        <v>0</v>
      </c>
      <c r="R150" t="n">
        <v>0</v>
      </c>
      <c r="S150" t="n">
        <v>0</v>
      </c>
      <c r="T150" t="n">
        <v>0</v>
      </c>
      <c r="U150" s="2" t="inlineStr"/>
    </row>
    <row r="151" ht="15" customHeight="1">
      <c r="A151" t="inlineStr">
        <is>
          <t>A 8434-2026</t>
        </is>
      </c>
      <c r="B151" t="inlineStr">
        <is>
          <t>avverkningsanmälan</t>
        </is>
      </c>
      <c r="C151" t="inlineStr">
        <is>
          <t>Föryngringsavverkning</t>
        </is>
      </c>
      <c r="D151" s="1" t="n">
        <v>46065</v>
      </c>
      <c r="E151" s="1" t="n">
        <v>46220</v>
      </c>
      <c r="F151" t="inlineStr">
        <is>
          <t>JÖNKÖPINGS LÄN</t>
        </is>
      </c>
      <c r="G151" t="inlineStr">
        <is>
          <t>TRANÅS</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9800-2025</t>
        </is>
      </c>
      <c r="B152" t="inlineStr">
        <is>
          <t>avverkningsanmälan</t>
        </is>
      </c>
      <c r="C152" t="inlineStr">
        <is>
          <t>Föryngringsavverkning</t>
        </is>
      </c>
      <c r="D152" s="1" t="n">
        <v>45715</v>
      </c>
      <c r="E152" s="1" t="n">
        <v>46220</v>
      </c>
      <c r="F152" t="inlineStr">
        <is>
          <t>JÖNKÖPINGS LÄN</t>
        </is>
      </c>
      <c r="G152" t="inlineStr">
        <is>
          <t>TRANÅS</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17571-2025</t>
        </is>
      </c>
      <c r="B153" t="inlineStr">
        <is>
          <t>avverkningsanmälan</t>
        </is>
      </c>
      <c r="C153" t="inlineStr">
        <is>
          <t>Föryngringsavverkning</t>
        </is>
      </c>
      <c r="D153" s="1" t="n">
        <v>45757</v>
      </c>
      <c r="E153" s="1" t="n">
        <v>46220</v>
      </c>
      <c r="F153" t="inlineStr">
        <is>
          <t>JÖNKÖPINGS LÄN</t>
        </is>
      </c>
      <c r="G153" t="inlineStr">
        <is>
          <t>TRANÅS</t>
        </is>
      </c>
      <c r="I153" t="n">
        <v>3.2</v>
      </c>
      <c r="J153" t="n">
        <v>0</v>
      </c>
      <c r="K153" t="n">
        <v>0</v>
      </c>
      <c r="L153" t="n">
        <v>0</v>
      </c>
      <c r="M153" t="n">
        <v>0</v>
      </c>
      <c r="N153" t="n">
        <v>0</v>
      </c>
      <c r="O153" t="n">
        <v>0</v>
      </c>
      <c r="P153" t="n">
        <v>0</v>
      </c>
      <c r="Q153" t="n">
        <v>0</v>
      </c>
      <c r="R153" t="n">
        <v>0</v>
      </c>
      <c r="S153" t="n">
        <v>0</v>
      </c>
      <c r="T153" t="n">
        <v>0</v>
      </c>
      <c r="U153" s="2" t="inlineStr"/>
    </row>
    <row r="154" ht="15" customHeight="1">
      <c r="A154" t="inlineStr">
        <is>
          <t>A 8418-2026</t>
        </is>
      </c>
      <c r="B154" t="inlineStr">
        <is>
          <t>avverkningsanmälan</t>
        </is>
      </c>
      <c r="C154" t="inlineStr">
        <is>
          <t>Föryngringsavverkning</t>
        </is>
      </c>
      <c r="D154" s="1" t="n">
        <v>46065</v>
      </c>
      <c r="E154" s="1" t="n">
        <v>46220</v>
      </c>
      <c r="F154" t="inlineStr">
        <is>
          <t>JÖNKÖPINGS LÄN</t>
        </is>
      </c>
      <c r="G154" t="inlineStr">
        <is>
          <t>TRANÅS</t>
        </is>
      </c>
      <c r="H154" t="inlineStr">
        <is>
          <t>Kyrkan</t>
        </is>
      </c>
      <c r="I154" t="n">
        <v>8.4</v>
      </c>
      <c r="J154" t="n">
        <v>0</v>
      </c>
      <c r="K154" t="n">
        <v>0</v>
      </c>
      <c r="L154" t="n">
        <v>0</v>
      </c>
      <c r="M154" t="n">
        <v>0</v>
      </c>
      <c r="N154" t="n">
        <v>0</v>
      </c>
      <c r="O154" t="n">
        <v>0</v>
      </c>
      <c r="P154" t="n">
        <v>0</v>
      </c>
      <c r="Q154" t="n">
        <v>0</v>
      </c>
      <c r="R154" t="n">
        <v>0</v>
      </c>
      <c r="S154" t="n">
        <v>0</v>
      </c>
      <c r="T154" t="n">
        <v>0</v>
      </c>
      <c r="U154" s="2" t="inlineStr"/>
    </row>
    <row r="155" ht="15" customHeight="1">
      <c r="A155" t="inlineStr">
        <is>
          <t>A 8313-2026</t>
        </is>
      </c>
      <c r="B155" t="inlineStr">
        <is>
          <t>avverkningsanmälan</t>
        </is>
      </c>
      <c r="C155" t="inlineStr">
        <is>
          <t>Föryngringsavverkning</t>
        </is>
      </c>
      <c r="D155" s="1" t="n">
        <v>46064</v>
      </c>
      <c r="E155" s="1" t="n">
        <v>46220</v>
      </c>
      <c r="F155" t="inlineStr">
        <is>
          <t>JÖNKÖPINGS LÄN</t>
        </is>
      </c>
      <c r="G155" t="inlineStr">
        <is>
          <t>TRANÅS</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7583-2023</t>
        </is>
      </c>
      <c r="B156" t="inlineStr">
        <is>
          <t>avverkningsanmälan</t>
        </is>
      </c>
      <c r="C156" t="inlineStr">
        <is>
          <t>Föryngringsavverkning</t>
        </is>
      </c>
      <c r="D156" s="1" t="n">
        <v>44972</v>
      </c>
      <c r="E156" s="1" t="n">
        <v>46220</v>
      </c>
      <c r="F156" t="inlineStr">
        <is>
          <t>JÖNKÖPINGS LÄN</t>
        </is>
      </c>
      <c r="G156" t="inlineStr">
        <is>
          <t>TRANÅS</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22404-2023</t>
        </is>
      </c>
      <c r="B157" t="inlineStr">
        <is>
          <t>avverkningsanmälan</t>
        </is>
      </c>
      <c r="C157" t="inlineStr">
        <is>
          <t>Föryngringsavverkning</t>
        </is>
      </c>
      <c r="D157" s="1" t="n">
        <v>45070</v>
      </c>
      <c r="E157" s="1" t="n">
        <v>46220</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23984-2023</t>
        </is>
      </c>
      <c r="B158" t="inlineStr">
        <is>
          <t>avverkningsanmälan</t>
        </is>
      </c>
      <c r="C158" t="inlineStr">
        <is>
          <t>Föryngringsavverkning</t>
        </is>
      </c>
      <c r="D158" s="1" t="n">
        <v>45078</v>
      </c>
      <c r="E158" s="1" t="n">
        <v>46220</v>
      </c>
      <c r="F158" t="inlineStr">
        <is>
          <t>JÖNKÖPINGS LÄN</t>
        </is>
      </c>
      <c r="G158" t="inlineStr">
        <is>
          <t>TRANÅS</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8820-2026</t>
        </is>
      </c>
      <c r="B159" t="inlineStr">
        <is>
          <t>avverkningsanmälan</t>
        </is>
      </c>
      <c r="C159" t="inlineStr">
        <is>
          <t>Avverkning för annat ändamål</t>
        </is>
      </c>
      <c r="D159" s="1" t="n">
        <v>46066</v>
      </c>
      <c r="E159" s="1" t="n">
        <v>46220</v>
      </c>
      <c r="F159" t="inlineStr">
        <is>
          <t>JÖNKÖPINGS LÄN</t>
        </is>
      </c>
      <c r="G159" t="inlineStr">
        <is>
          <t>TRANÅS</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62867-2025</t>
        </is>
      </c>
      <c r="B160" t="inlineStr">
        <is>
          <t>avverkningsanmälan</t>
        </is>
      </c>
      <c r="C160" t="inlineStr">
        <is>
          <t>Föryngringsavverkning</t>
        </is>
      </c>
      <c r="D160" s="1" t="n">
        <v>46008</v>
      </c>
      <c r="E160" s="1" t="n">
        <v>46220</v>
      </c>
      <c r="F160" t="inlineStr">
        <is>
          <t>JÖNKÖPINGS LÄN</t>
        </is>
      </c>
      <c r="G160" t="inlineStr">
        <is>
          <t>TRANÅS</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55973-2025</t>
        </is>
      </c>
      <c r="B161" t="inlineStr">
        <is>
          <t>avverkningsanmälan</t>
        </is>
      </c>
      <c r="C161" t="inlineStr">
        <is>
          <t>Avverkning för annat ändamål</t>
        </is>
      </c>
      <c r="D161" s="1" t="n">
        <v>45973</v>
      </c>
      <c r="E161" s="1" t="n">
        <v>46220</v>
      </c>
      <c r="F161" t="inlineStr">
        <is>
          <t>JÖNKÖPINGS LÄN</t>
        </is>
      </c>
      <c r="G161" t="inlineStr">
        <is>
          <t>TRANÅS</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5066-2025</t>
        </is>
      </c>
      <c r="B162" t="inlineStr">
        <is>
          <t>avverkningsanmälan</t>
        </is>
      </c>
      <c r="C162" t="inlineStr">
        <is>
          <t>Föryngringsavverkning</t>
        </is>
      </c>
      <c r="D162" s="1" t="n">
        <v>45691</v>
      </c>
      <c r="E162" s="1" t="n">
        <v>46220</v>
      </c>
      <c r="F162" t="inlineStr">
        <is>
          <t>JÖNKÖPINGS LÄN</t>
        </is>
      </c>
      <c r="G162" t="inlineStr">
        <is>
          <t>TRANÅS</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8351-2023</t>
        </is>
      </c>
      <c r="B163" t="inlineStr">
        <is>
          <t>avverkningsanmälan</t>
        </is>
      </c>
      <c r="C163" t="inlineStr">
        <is>
          <t>Föryngringsavverkning</t>
        </is>
      </c>
      <c r="D163" s="1" t="n">
        <v>44977</v>
      </c>
      <c r="E163" s="1" t="n">
        <v>46220</v>
      </c>
      <c r="F163" t="inlineStr">
        <is>
          <t>JÖNKÖPINGS LÄN</t>
        </is>
      </c>
      <c r="G163" t="inlineStr">
        <is>
          <t>TRANÅS</t>
        </is>
      </c>
      <c r="I163" t="n">
        <v>5.6</v>
      </c>
      <c r="J163" t="n">
        <v>0</v>
      </c>
      <c r="K163" t="n">
        <v>0</v>
      </c>
      <c r="L163" t="n">
        <v>0</v>
      </c>
      <c r="M163" t="n">
        <v>0</v>
      </c>
      <c r="N163" t="n">
        <v>0</v>
      </c>
      <c r="O163" t="n">
        <v>0</v>
      </c>
      <c r="P163" t="n">
        <v>0</v>
      </c>
      <c r="Q163" t="n">
        <v>0</v>
      </c>
      <c r="R163" t="n">
        <v>0</v>
      </c>
      <c r="S163" t="n">
        <v>0</v>
      </c>
      <c r="T163" t="n">
        <v>0</v>
      </c>
      <c r="U163" s="2" t="inlineStr"/>
    </row>
    <row r="164" ht="15" customHeight="1">
      <c r="A164" t="inlineStr">
        <is>
          <t>A 6919-2023</t>
        </is>
      </c>
      <c r="B164" t="inlineStr">
        <is>
          <t>avverkningsanmälan</t>
        </is>
      </c>
      <c r="C164" t="inlineStr">
        <is>
          <t>Föryngringsavverkning</t>
        </is>
      </c>
      <c r="D164" s="1" t="n">
        <v>44967</v>
      </c>
      <c r="E164" s="1" t="n">
        <v>46220</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7333-2024</t>
        </is>
      </c>
      <c r="B165" t="inlineStr">
        <is>
          <t>avverkningsanmälan</t>
        </is>
      </c>
      <c r="C165" t="inlineStr">
        <is>
          <t>Föryngringsavverkning</t>
        </is>
      </c>
      <c r="D165" s="1" t="n">
        <v>45345</v>
      </c>
      <c r="E165" s="1" t="n">
        <v>46220</v>
      </c>
      <c r="F165" t="inlineStr">
        <is>
          <t>JÖNKÖPINGS LÄN</t>
        </is>
      </c>
      <c r="G165" t="inlineStr">
        <is>
          <t>TRANÅS</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2379-2023</t>
        </is>
      </c>
      <c r="B166" t="inlineStr">
        <is>
          <t>avverkningsanmälan</t>
        </is>
      </c>
      <c r="C166" t="inlineStr">
        <is>
          <t>Föryngringsavverkning</t>
        </is>
      </c>
      <c r="D166" s="1" t="n">
        <v>44942</v>
      </c>
      <c r="E166" s="1" t="n">
        <v>46220</v>
      </c>
      <c r="F166" t="inlineStr">
        <is>
          <t>JÖNKÖPINGS LÄN</t>
        </is>
      </c>
      <c r="G166" t="inlineStr">
        <is>
          <t>TRANÅS</t>
        </is>
      </c>
      <c r="H166" t="inlineStr">
        <is>
          <t>Kommuner</t>
        </is>
      </c>
      <c r="I166" t="n">
        <v>5.7</v>
      </c>
      <c r="J166" t="n">
        <v>0</v>
      </c>
      <c r="K166" t="n">
        <v>0</v>
      </c>
      <c r="L166" t="n">
        <v>0</v>
      </c>
      <c r="M166" t="n">
        <v>0</v>
      </c>
      <c r="N166" t="n">
        <v>0</v>
      </c>
      <c r="O166" t="n">
        <v>0</v>
      </c>
      <c r="P166" t="n">
        <v>0</v>
      </c>
      <c r="Q166" t="n">
        <v>0</v>
      </c>
      <c r="R166" t="n">
        <v>0</v>
      </c>
      <c r="S166" t="n">
        <v>0</v>
      </c>
      <c r="T166" t="n">
        <v>0</v>
      </c>
      <c r="U166" s="2" t="inlineStr"/>
    </row>
    <row r="167" ht="15" customHeight="1">
      <c r="A167" t="inlineStr">
        <is>
          <t>A 40442-2022</t>
        </is>
      </c>
      <c r="B167" t="inlineStr">
        <is>
          <t>avverkningsanmälan</t>
        </is>
      </c>
      <c r="C167" t="inlineStr">
        <is>
          <t>Föryngringsavverkning</t>
        </is>
      </c>
      <c r="D167" s="1" t="n">
        <v>44823</v>
      </c>
      <c r="E167" s="1" t="n">
        <v>46220</v>
      </c>
      <c r="F167" t="inlineStr">
        <is>
          <t>JÖNKÖPINGS LÄN</t>
        </is>
      </c>
      <c r="G167" t="inlineStr">
        <is>
          <t>TRANÅS</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45787-2023</t>
        </is>
      </c>
      <c r="B168" t="inlineStr">
        <is>
          <t>avverkningsanmälan</t>
        </is>
      </c>
      <c r="C168" t="inlineStr">
        <is>
          <t>Föryngringsavverkning</t>
        </is>
      </c>
      <c r="D168" s="1" t="n">
        <v>45195</v>
      </c>
      <c r="E168" s="1" t="n">
        <v>46220</v>
      </c>
      <c r="F168" t="inlineStr">
        <is>
          <t>JÖNKÖPINGS LÄN</t>
        </is>
      </c>
      <c r="G168" t="inlineStr">
        <is>
          <t>TRANÅS</t>
        </is>
      </c>
      <c r="I168" t="n">
        <v>9.300000000000001</v>
      </c>
      <c r="J168" t="n">
        <v>0</v>
      </c>
      <c r="K168" t="n">
        <v>0</v>
      </c>
      <c r="L168" t="n">
        <v>0</v>
      </c>
      <c r="M168" t="n">
        <v>0</v>
      </c>
      <c r="N168" t="n">
        <v>0</v>
      </c>
      <c r="O168" t="n">
        <v>0</v>
      </c>
      <c r="P168" t="n">
        <v>0</v>
      </c>
      <c r="Q168" t="n">
        <v>0</v>
      </c>
      <c r="R168" t="n">
        <v>0</v>
      </c>
      <c r="S168" t="n">
        <v>0</v>
      </c>
      <c r="T168" t="n">
        <v>0</v>
      </c>
      <c r="U168" s="2" t="inlineStr"/>
    </row>
    <row r="169" ht="15" customHeight="1">
      <c r="A169" t="inlineStr">
        <is>
          <t>A 57983-2024</t>
        </is>
      </c>
      <c r="B169" t="inlineStr">
        <is>
          <t>avverkningsanmälan</t>
        </is>
      </c>
      <c r="C169" t="inlineStr">
        <is>
          <t>Föryngringsavverkning</t>
        </is>
      </c>
      <c r="D169" s="1" t="n">
        <v>45631</v>
      </c>
      <c r="E169" s="1" t="n">
        <v>46220</v>
      </c>
      <c r="F169" t="inlineStr">
        <is>
          <t>JÖNKÖPINGS LÄN</t>
        </is>
      </c>
      <c r="G169" t="inlineStr">
        <is>
          <t>TRANÅS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17964-2024</t>
        </is>
      </c>
      <c r="B170" t="inlineStr">
        <is>
          <t>avverkningsanmälan</t>
        </is>
      </c>
      <c r="C170" t="inlineStr">
        <is>
          <t>Avverkning för annat ändamål</t>
        </is>
      </c>
      <c r="D170" s="1" t="n">
        <v>45419</v>
      </c>
      <c r="E170" s="1" t="n">
        <v>46220</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1714-2024</t>
        </is>
      </c>
      <c r="B171" t="inlineStr">
        <is>
          <t>avverkningsanmälan</t>
        </is>
      </c>
      <c r="C171" t="inlineStr">
        <is>
          <t>Föryngringsavverkning</t>
        </is>
      </c>
      <c r="D171" s="1" t="n">
        <v>45307</v>
      </c>
      <c r="E171" s="1" t="n">
        <v>46220</v>
      </c>
      <c r="F171" t="inlineStr">
        <is>
          <t>JÖNKÖPINGS LÄN</t>
        </is>
      </c>
      <c r="G171" t="inlineStr">
        <is>
          <t>TRANÅS</t>
        </is>
      </c>
      <c r="H171" t="inlineStr">
        <is>
          <t>Kommuner</t>
        </is>
      </c>
      <c r="I171" t="n">
        <v>5.2</v>
      </c>
      <c r="J171" t="n">
        <v>0</v>
      </c>
      <c r="K171" t="n">
        <v>0</v>
      </c>
      <c r="L171" t="n">
        <v>0</v>
      </c>
      <c r="M171" t="n">
        <v>0</v>
      </c>
      <c r="N171" t="n">
        <v>0</v>
      </c>
      <c r="O171" t="n">
        <v>0</v>
      </c>
      <c r="P171" t="n">
        <v>0</v>
      </c>
      <c r="Q171" t="n">
        <v>0</v>
      </c>
      <c r="R171" t="n">
        <v>0</v>
      </c>
      <c r="S171" t="n">
        <v>0</v>
      </c>
      <c r="T171" t="n">
        <v>0</v>
      </c>
      <c r="U171" s="2" t="inlineStr"/>
    </row>
    <row r="172" ht="15" customHeight="1">
      <c r="A172" t="inlineStr">
        <is>
          <t>A 36215-2022</t>
        </is>
      </c>
      <c r="B172" t="inlineStr">
        <is>
          <t>avverkningsanmälan</t>
        </is>
      </c>
      <c r="C172" t="inlineStr">
        <is>
          <t>Föryngringsavverkning</t>
        </is>
      </c>
      <c r="D172" s="1" t="n">
        <v>44803</v>
      </c>
      <c r="E172" s="1" t="n">
        <v>46220</v>
      </c>
      <c r="F172" t="inlineStr">
        <is>
          <t>JÖNKÖPINGS LÄN</t>
        </is>
      </c>
      <c r="G172" t="inlineStr">
        <is>
          <t>TRANÅS</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13643-2026</t>
        </is>
      </c>
      <c r="B173" t="inlineStr">
        <is>
          <t>avverkningsanmälan</t>
        </is>
      </c>
      <c r="C173" t="inlineStr">
        <is>
          <t>Avverkning för annat ändamål</t>
        </is>
      </c>
      <c r="D173" s="1" t="n">
        <v>46097</v>
      </c>
      <c r="E173" s="1" t="n">
        <v>46220</v>
      </c>
      <c r="F173" t="inlineStr">
        <is>
          <t>JÖNKÖPINGS LÄN</t>
        </is>
      </c>
      <c r="G173" t="inlineStr">
        <is>
          <t>TRANÅS</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14278-2026</t>
        </is>
      </c>
      <c r="B174" t="inlineStr">
        <is>
          <t>avverkningsanmälan</t>
        </is>
      </c>
      <c r="C174" t="inlineStr">
        <is>
          <t>Föryngringsavverkning</t>
        </is>
      </c>
      <c r="D174" s="1" t="n">
        <v>46099</v>
      </c>
      <c r="E174" s="1" t="n">
        <v>46220</v>
      </c>
      <c r="F174" t="inlineStr">
        <is>
          <t>JÖNKÖPINGS LÄN</t>
        </is>
      </c>
      <c r="G174" t="inlineStr">
        <is>
          <t>TRANÅS</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14287-2026</t>
        </is>
      </c>
      <c r="B175" t="inlineStr">
        <is>
          <t>avverkningsanmälan</t>
        </is>
      </c>
      <c r="C175" t="inlineStr">
        <is>
          <t>Föryngringsavverkning</t>
        </is>
      </c>
      <c r="D175" s="1" t="n">
        <v>46099</v>
      </c>
      <c r="E175" s="1" t="n">
        <v>46220</v>
      </c>
      <c r="F175" t="inlineStr">
        <is>
          <t>JÖNKÖPINGS LÄN</t>
        </is>
      </c>
      <c r="G175" t="inlineStr">
        <is>
          <t>TRANÅS</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14290-2026</t>
        </is>
      </c>
      <c r="B176" t="inlineStr">
        <is>
          <t>avverkningsanmälan</t>
        </is>
      </c>
      <c r="C176" t="inlineStr">
        <is>
          <t>Föryngringsavverkning</t>
        </is>
      </c>
      <c r="D176" s="1" t="n">
        <v>46099</v>
      </c>
      <c r="E176" s="1" t="n">
        <v>46220</v>
      </c>
      <c r="F176" t="inlineStr">
        <is>
          <t>JÖNKÖPINGS LÄN</t>
        </is>
      </c>
      <c r="G176" t="inlineStr">
        <is>
          <t>TRANÅS</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8348-2023</t>
        </is>
      </c>
      <c r="B177" t="inlineStr">
        <is>
          <t>avverkningsanmälan</t>
        </is>
      </c>
      <c r="C177" t="inlineStr">
        <is>
          <t>Föryngringsavverkning</t>
        </is>
      </c>
      <c r="D177" s="1" t="n">
        <v>44977</v>
      </c>
      <c r="E177" s="1" t="n">
        <v>46220</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61017-2024</t>
        </is>
      </c>
      <c r="B178" t="inlineStr">
        <is>
          <t>avverkningsanmälan</t>
        </is>
      </c>
      <c r="C178" t="inlineStr">
        <is>
          <t>Föryngringsavverkning</t>
        </is>
      </c>
      <c r="D178" s="1" t="n">
        <v>45644</v>
      </c>
      <c r="E178" s="1" t="n">
        <v>46220</v>
      </c>
      <c r="F178" t="inlineStr">
        <is>
          <t>JÖNKÖPINGS LÄN</t>
        </is>
      </c>
      <c r="G178" t="inlineStr">
        <is>
          <t>TRANÅS</t>
        </is>
      </c>
      <c r="I178" t="n">
        <v>12.1</v>
      </c>
      <c r="J178" t="n">
        <v>0</v>
      </c>
      <c r="K178" t="n">
        <v>0</v>
      </c>
      <c r="L178" t="n">
        <v>0</v>
      </c>
      <c r="M178" t="n">
        <v>0</v>
      </c>
      <c r="N178" t="n">
        <v>0</v>
      </c>
      <c r="O178" t="n">
        <v>0</v>
      </c>
      <c r="P178" t="n">
        <v>0</v>
      </c>
      <c r="Q178" t="n">
        <v>0</v>
      </c>
      <c r="R178" t="n">
        <v>0</v>
      </c>
      <c r="S178" t="n">
        <v>0</v>
      </c>
      <c r="T178" t="n">
        <v>0</v>
      </c>
      <c r="U178" s="2" t="inlineStr"/>
    </row>
    <row r="179" ht="15" customHeight="1">
      <c r="A179" t="inlineStr">
        <is>
          <t>A 16153-2023</t>
        </is>
      </c>
      <c r="B179" t="inlineStr">
        <is>
          <t>avverkningsanmälan</t>
        </is>
      </c>
      <c r="C179" t="inlineStr">
        <is>
          <t>Föryngringsavverkning</t>
        </is>
      </c>
      <c r="D179" s="1" t="n">
        <v>45027</v>
      </c>
      <c r="E179" s="1" t="n">
        <v>46220</v>
      </c>
      <c r="F179" t="inlineStr">
        <is>
          <t>JÖNKÖPINGS LÄN</t>
        </is>
      </c>
      <c r="G179" t="inlineStr">
        <is>
          <t>TRANÅS</t>
        </is>
      </c>
      <c r="H179" t="inlineStr">
        <is>
          <t>Allmännings- och besparingsskogar</t>
        </is>
      </c>
      <c r="I179" t="n">
        <v>14.5</v>
      </c>
      <c r="J179" t="n">
        <v>0</v>
      </c>
      <c r="K179" t="n">
        <v>0</v>
      </c>
      <c r="L179" t="n">
        <v>0</v>
      </c>
      <c r="M179" t="n">
        <v>0</v>
      </c>
      <c r="N179" t="n">
        <v>0</v>
      </c>
      <c r="O179" t="n">
        <v>0</v>
      </c>
      <c r="P179" t="n">
        <v>0</v>
      </c>
      <c r="Q179" t="n">
        <v>0</v>
      </c>
      <c r="R179" t="n">
        <v>0</v>
      </c>
      <c r="S179" t="n">
        <v>0</v>
      </c>
      <c r="T179" t="n">
        <v>0</v>
      </c>
      <c r="U179" s="2" t="inlineStr"/>
    </row>
    <row r="180" ht="15" customHeight="1">
      <c r="A180" t="inlineStr">
        <is>
          <t>A 15838-2026</t>
        </is>
      </c>
      <c r="B180" t="inlineStr">
        <is>
          <t>avverkningsanmälan</t>
        </is>
      </c>
      <c r="C180" t="inlineStr">
        <is>
          <t>Föryngringsavverkning</t>
        </is>
      </c>
      <c r="D180" s="1" t="n">
        <v>46107</v>
      </c>
      <c r="E180" s="1" t="n">
        <v>46220</v>
      </c>
      <c r="F180" t="inlineStr">
        <is>
          <t>JÖNKÖPINGS LÄN</t>
        </is>
      </c>
      <c r="G180" t="inlineStr">
        <is>
          <t>TRANÅS</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29130-2023</t>
        </is>
      </c>
      <c r="B181" t="inlineStr">
        <is>
          <t>avverkningsanmälan</t>
        </is>
      </c>
      <c r="C181" t="inlineStr">
        <is>
          <t>Föryngringsavverkning</t>
        </is>
      </c>
      <c r="D181" s="1" t="n">
        <v>45105</v>
      </c>
      <c r="E181" s="1" t="n">
        <v>46220</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52714-2024</t>
        </is>
      </c>
      <c r="B182" t="inlineStr">
        <is>
          <t>avverkningsanmälan</t>
        </is>
      </c>
      <c r="C182" t="inlineStr">
        <is>
          <t>Föryngringsavverkning</t>
        </is>
      </c>
      <c r="D182" s="1" t="n">
        <v>45610</v>
      </c>
      <c r="E182" s="1" t="n">
        <v>46220</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18173-2023</t>
        </is>
      </c>
      <c r="B183" t="inlineStr">
        <is>
          <t>avverkningsanmälan</t>
        </is>
      </c>
      <c r="C183" t="inlineStr">
        <is>
          <t>Föryngringsavverkning</t>
        </is>
      </c>
      <c r="D183" s="1" t="n">
        <v>45040</v>
      </c>
      <c r="E183" s="1" t="n">
        <v>46220</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5995-2024</t>
        </is>
      </c>
      <c r="B184" t="inlineStr">
        <is>
          <t>avverkningsanmälan</t>
        </is>
      </c>
      <c r="C184" t="inlineStr">
        <is>
          <t>Föryngringsavverkning</t>
        </is>
      </c>
      <c r="D184" s="1" t="n">
        <v>45336</v>
      </c>
      <c r="E184" s="1" t="n">
        <v>46220</v>
      </c>
      <c r="F184" t="inlineStr">
        <is>
          <t>JÖNKÖPINGS LÄN</t>
        </is>
      </c>
      <c r="G184" t="inlineStr">
        <is>
          <t>TRANÅS</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73249-2021</t>
        </is>
      </c>
      <c r="B185" t="inlineStr">
        <is>
          <t>avverkningsanmälan</t>
        </is>
      </c>
      <c r="C185" t="inlineStr">
        <is>
          <t>Föryngringsavverkning</t>
        </is>
      </c>
      <c r="D185" s="1" t="n">
        <v>44550</v>
      </c>
      <c r="E185" s="1" t="n">
        <v>46220</v>
      </c>
      <c r="F185" t="inlineStr">
        <is>
          <t>JÖNKÖPINGS LÄN</t>
        </is>
      </c>
      <c r="G185" t="inlineStr">
        <is>
          <t>TRANÅS</t>
        </is>
      </c>
      <c r="I185" t="n">
        <v>4.5</v>
      </c>
      <c r="J185" t="n">
        <v>0</v>
      </c>
      <c r="K185" t="n">
        <v>0</v>
      </c>
      <c r="L185" t="n">
        <v>0</v>
      </c>
      <c r="M185" t="n">
        <v>0</v>
      </c>
      <c r="N185" t="n">
        <v>0</v>
      </c>
      <c r="O185" t="n">
        <v>0</v>
      </c>
      <c r="P185" t="n">
        <v>0</v>
      </c>
      <c r="Q185" t="n">
        <v>0</v>
      </c>
      <c r="R185" t="n">
        <v>0</v>
      </c>
      <c r="S185" t="n">
        <v>0</v>
      </c>
      <c r="T185" t="n">
        <v>0</v>
      </c>
      <c r="U185" s="2" t="inlineStr"/>
    </row>
    <row r="186" ht="15" customHeight="1">
      <c r="A186" t="inlineStr">
        <is>
          <t>A 19853-2026</t>
        </is>
      </c>
      <c r="B186" t="inlineStr">
        <is>
          <t>avverkningsanmälan</t>
        </is>
      </c>
      <c r="C186" t="inlineStr">
        <is>
          <t>Föryngringsavverkning</t>
        </is>
      </c>
      <c r="D186" s="1" t="n">
        <v>46135</v>
      </c>
      <c r="E186" s="1" t="n">
        <v>46220</v>
      </c>
      <c r="F186" t="inlineStr">
        <is>
          <t>JÖNKÖPINGS LÄN</t>
        </is>
      </c>
      <c r="G186" t="inlineStr">
        <is>
          <t>TRANÅS</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9229-2025</t>
        </is>
      </c>
      <c r="B187" t="inlineStr">
        <is>
          <t>avverkningsanmälan</t>
        </is>
      </c>
      <c r="C187" t="inlineStr">
        <is>
          <t>Föryngringsavverkning</t>
        </is>
      </c>
      <c r="D187" s="1" t="n">
        <v>45713</v>
      </c>
      <c r="E187" s="1" t="n">
        <v>46220</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3711-2024</t>
        </is>
      </c>
      <c r="B188" t="inlineStr">
        <is>
          <t>avverkningsanmälan</t>
        </is>
      </c>
      <c r="C188" t="inlineStr">
        <is>
          <t>Föryngringsavverkning</t>
        </is>
      </c>
      <c r="D188" s="1" t="n">
        <v>45321</v>
      </c>
      <c r="E188" s="1" t="n">
        <v>46220</v>
      </c>
      <c r="F188" t="inlineStr">
        <is>
          <t>JÖNKÖPINGS LÄN</t>
        </is>
      </c>
      <c r="G188" t="inlineStr">
        <is>
          <t>TRANÅS</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25806-2026</t>
        </is>
      </c>
      <c r="B189" t="inlineStr">
        <is>
          <t>avverkningsanmälan</t>
        </is>
      </c>
      <c r="C189" t="inlineStr">
        <is>
          <t>Föryngringsavverkning</t>
        </is>
      </c>
      <c r="D189" s="1" t="n">
        <v>46178</v>
      </c>
      <c r="E189" s="1" t="n">
        <v>46220</v>
      </c>
      <c r="F189" t="inlineStr">
        <is>
          <t>JÖNKÖPINGS LÄN</t>
        </is>
      </c>
      <c r="G189" t="inlineStr">
        <is>
          <t>TRANÅS</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4702-2023</t>
        </is>
      </c>
      <c r="B190" t="inlineStr">
        <is>
          <t>avverkningsanmälan</t>
        </is>
      </c>
      <c r="C190" t="inlineStr">
        <is>
          <t>Föryngringsavverkning</t>
        </is>
      </c>
      <c r="D190" s="1" t="n">
        <v>44953</v>
      </c>
      <c r="E190" s="1" t="n">
        <v>46220</v>
      </c>
      <c r="F190" t="inlineStr">
        <is>
          <t>JÖNKÖPINGS LÄN</t>
        </is>
      </c>
      <c r="G190" t="inlineStr">
        <is>
          <t>TRANÅS</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14286-2024</t>
        </is>
      </c>
      <c r="B191" t="inlineStr">
        <is>
          <t>avverkningsanmälan</t>
        </is>
      </c>
      <c r="C191" t="inlineStr">
        <is>
          <t>Föryngringsavverkning</t>
        </is>
      </c>
      <c r="D191" s="1" t="n">
        <v>45393</v>
      </c>
      <c r="E191" s="1" t="n">
        <v>46220</v>
      </c>
      <c r="F191" t="inlineStr">
        <is>
          <t>JÖNKÖPINGS LÄN</t>
        </is>
      </c>
      <c r="G191" t="inlineStr">
        <is>
          <t>TRANÅS</t>
        </is>
      </c>
      <c r="I191" t="n">
        <v>5.6</v>
      </c>
      <c r="J191" t="n">
        <v>0</v>
      </c>
      <c r="K191" t="n">
        <v>0</v>
      </c>
      <c r="L191" t="n">
        <v>0</v>
      </c>
      <c r="M191" t="n">
        <v>0</v>
      </c>
      <c r="N191" t="n">
        <v>0</v>
      </c>
      <c r="O191" t="n">
        <v>0</v>
      </c>
      <c r="P191" t="n">
        <v>0</v>
      </c>
      <c r="Q191" t="n">
        <v>0</v>
      </c>
      <c r="R191" t="n">
        <v>0</v>
      </c>
      <c r="S191" t="n">
        <v>0</v>
      </c>
      <c r="T191" t="n">
        <v>0</v>
      </c>
      <c r="U191" s="2" t="inlineStr"/>
    </row>
    <row r="192" ht="15" customHeight="1">
      <c r="A192" t="inlineStr">
        <is>
          <t>A 36105-2024</t>
        </is>
      </c>
      <c r="B192" t="inlineStr">
        <is>
          <t>avverkningsanmälan</t>
        </is>
      </c>
      <c r="C192" t="inlineStr">
        <is>
          <t>Föryngringsavverkning</t>
        </is>
      </c>
      <c r="D192" s="1" t="n">
        <v>45533</v>
      </c>
      <c r="E192" s="1" t="n">
        <v>46220</v>
      </c>
      <c r="F192" t="inlineStr">
        <is>
          <t>JÖNKÖPINGS LÄN</t>
        </is>
      </c>
      <c r="G192" t="inlineStr">
        <is>
          <t>TRANÅS</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30144-2024</t>
        </is>
      </c>
      <c r="B193" t="inlineStr">
        <is>
          <t>avverkningsanmälan</t>
        </is>
      </c>
      <c r="C193" t="inlineStr">
        <is>
          <t>Föryngringsavverkning</t>
        </is>
      </c>
      <c r="D193" s="1" t="n">
        <v>45489</v>
      </c>
      <c r="E193" s="1" t="n">
        <v>46220</v>
      </c>
      <c r="F193" t="inlineStr">
        <is>
          <t>JÖNKÖPINGS LÄN</t>
        </is>
      </c>
      <c r="G193" t="inlineStr">
        <is>
          <t>TRANÅS</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21351-2025</t>
        </is>
      </c>
      <c r="B194" t="inlineStr">
        <is>
          <t>avverkningsanmälan</t>
        </is>
      </c>
      <c r="C194" t="inlineStr">
        <is>
          <t>Avverkning för annat ändamål</t>
        </is>
      </c>
      <c r="D194" s="1" t="n">
        <v>45782</v>
      </c>
      <c r="E194" s="1" t="n">
        <v>46220</v>
      </c>
      <c r="F194" t="inlineStr">
        <is>
          <t>JÖNKÖPINGS LÄN</t>
        </is>
      </c>
      <c r="G194" t="inlineStr">
        <is>
          <t>TRANÅS</t>
        </is>
      </c>
      <c r="I194" t="n">
        <v>11.5</v>
      </c>
      <c r="J194" t="n">
        <v>0</v>
      </c>
      <c r="K194" t="n">
        <v>0</v>
      </c>
      <c r="L194" t="n">
        <v>0</v>
      </c>
      <c r="M194" t="n">
        <v>0</v>
      </c>
      <c r="N194" t="n">
        <v>0</v>
      </c>
      <c r="O194" t="n">
        <v>0</v>
      </c>
      <c r="P194" t="n">
        <v>0</v>
      </c>
      <c r="Q194" t="n">
        <v>0</v>
      </c>
      <c r="R194" t="n">
        <v>0</v>
      </c>
      <c r="S194" t="n">
        <v>0</v>
      </c>
      <c r="T194" t="n">
        <v>0</v>
      </c>
      <c r="U194" s="2" t="inlineStr"/>
    </row>
    <row r="195" ht="15" customHeight="1">
      <c r="A195" t="inlineStr">
        <is>
          <t>A 49958-2022</t>
        </is>
      </c>
      <c r="B195" t="inlineStr">
        <is>
          <t>avverkningsanmälan</t>
        </is>
      </c>
      <c r="C195" t="inlineStr">
        <is>
          <t>Föryngringsavverkning</t>
        </is>
      </c>
      <c r="D195" s="1" t="n">
        <v>44865</v>
      </c>
      <c r="E195" s="1" t="n">
        <v>46220</v>
      </c>
      <c r="F195" t="inlineStr">
        <is>
          <t>JÖNKÖPINGS LÄN</t>
        </is>
      </c>
      <c r="G195" t="inlineStr">
        <is>
          <t>TRANÅS</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57130-2022</t>
        </is>
      </c>
      <c r="B196" t="inlineStr">
        <is>
          <t>avverkningsanmälan</t>
        </is>
      </c>
      <c r="C196" t="inlineStr">
        <is>
          <t>Föryngringsavverkning</t>
        </is>
      </c>
      <c r="D196" s="1" t="n">
        <v>44895</v>
      </c>
      <c r="E196" s="1" t="n">
        <v>46220</v>
      </c>
      <c r="F196" t="inlineStr">
        <is>
          <t>JÖNKÖPINGS LÄN</t>
        </is>
      </c>
      <c r="G196" t="inlineStr">
        <is>
          <t>TRANÅS</t>
        </is>
      </c>
      <c r="I196" t="n">
        <v>2.3</v>
      </c>
      <c r="J196" t="n">
        <v>0</v>
      </c>
      <c r="K196" t="n">
        <v>0</v>
      </c>
      <c r="L196" t="n">
        <v>0</v>
      </c>
      <c r="M196" t="n">
        <v>0</v>
      </c>
      <c r="N196" t="n">
        <v>0</v>
      </c>
      <c r="O196" t="n">
        <v>0</v>
      </c>
      <c r="P196" t="n">
        <v>0</v>
      </c>
      <c r="Q196" t="n">
        <v>0</v>
      </c>
      <c r="R196" t="n">
        <v>0</v>
      </c>
      <c r="S196" t="n">
        <v>0</v>
      </c>
      <c r="T196" t="n">
        <v>0</v>
      </c>
      <c r="U196" s="2" t="inlineStr"/>
    </row>
    <row r="197" ht="15" customHeight="1">
      <c r="A197" t="inlineStr">
        <is>
          <t>A 17567-2025</t>
        </is>
      </c>
      <c r="B197" t="inlineStr">
        <is>
          <t>avverkningsanmälan</t>
        </is>
      </c>
      <c r="C197" t="inlineStr">
        <is>
          <t>Föryngringsavverkning</t>
        </is>
      </c>
      <c r="D197" s="1" t="n">
        <v>45757</v>
      </c>
      <c r="E197" s="1" t="n">
        <v>46220</v>
      </c>
      <c r="F197" t="inlineStr">
        <is>
          <t>JÖNKÖPINGS LÄN</t>
        </is>
      </c>
      <c r="G197" t="inlineStr">
        <is>
          <t>TRANÅS</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18073-2024</t>
        </is>
      </c>
      <c r="B198" t="inlineStr">
        <is>
          <t>avverkningsanmälan</t>
        </is>
      </c>
      <c r="C198" t="inlineStr">
        <is>
          <t>Avverkning för annat ändamål</t>
        </is>
      </c>
      <c r="D198" s="1" t="n">
        <v>45420</v>
      </c>
      <c r="E198" s="1" t="n">
        <v>46220</v>
      </c>
      <c r="F198" t="inlineStr">
        <is>
          <t>JÖNKÖPINGS LÄN</t>
        </is>
      </c>
      <c r="G198" t="inlineStr">
        <is>
          <t>TRANÅS</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19983-2026</t>
        </is>
      </c>
      <c r="B199" t="inlineStr">
        <is>
          <t>avverkningsanmälan</t>
        </is>
      </c>
      <c r="C199" t="inlineStr">
        <is>
          <t>Föryngringsavverkning</t>
        </is>
      </c>
      <c r="D199" s="1" t="n">
        <v>46136</v>
      </c>
      <c r="E199" s="1" t="n">
        <v>46220</v>
      </c>
      <c r="F199" t="inlineStr">
        <is>
          <t>JÖNKÖPINGS LÄN</t>
        </is>
      </c>
      <c r="G199" t="inlineStr">
        <is>
          <t>TRANÅS</t>
        </is>
      </c>
      <c r="I199" t="n">
        <v>0.4</v>
      </c>
      <c r="J199" t="n">
        <v>0</v>
      </c>
      <c r="K199" t="n">
        <v>0</v>
      </c>
      <c r="L199" t="n">
        <v>0</v>
      </c>
      <c r="M199" t="n">
        <v>0</v>
      </c>
      <c r="N199" t="n">
        <v>0</v>
      </c>
      <c r="O199" t="n">
        <v>0</v>
      </c>
      <c r="P199" t="n">
        <v>0</v>
      </c>
      <c r="Q199" t="n">
        <v>0</v>
      </c>
      <c r="R199" t="n">
        <v>0</v>
      </c>
      <c r="S199" t="n">
        <v>0</v>
      </c>
      <c r="T199" t="n">
        <v>0</v>
      </c>
      <c r="U199" s="2" t="inlineStr"/>
    </row>
    <row r="200" ht="15" customHeight="1">
      <c r="A200" t="inlineStr">
        <is>
          <t>A 23993-2023</t>
        </is>
      </c>
      <c r="B200" t="inlineStr">
        <is>
          <t>avverkningsanmälan</t>
        </is>
      </c>
      <c r="C200" t="inlineStr">
        <is>
          <t>Föryngringsavverkning</t>
        </is>
      </c>
      <c r="D200" s="1" t="n">
        <v>45078</v>
      </c>
      <c r="E200" s="1" t="n">
        <v>46220</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s="2" t="inlineStr"/>
    </row>
    <row r="201" ht="15" customHeight="1">
      <c r="A201" t="inlineStr">
        <is>
          <t>A 7940-2023</t>
        </is>
      </c>
      <c r="B201" t="inlineStr">
        <is>
          <t>avverkningsanmälan</t>
        </is>
      </c>
      <c r="C201" t="inlineStr">
        <is>
          <t>Föryngringsavverkning</t>
        </is>
      </c>
      <c r="D201" s="1" t="n">
        <v>44973</v>
      </c>
      <c r="E201" s="1" t="n">
        <v>46220</v>
      </c>
      <c r="F201" t="inlineStr">
        <is>
          <t>JÖNKÖPINGS LÄN</t>
        </is>
      </c>
      <c r="G201" t="inlineStr">
        <is>
          <t>TRANÅS</t>
        </is>
      </c>
      <c r="H201" t="inlineStr">
        <is>
          <t>Kommuner</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7950-2023</t>
        </is>
      </c>
      <c r="B202" t="inlineStr">
        <is>
          <t>avverkningsanmälan</t>
        </is>
      </c>
      <c r="C202" t="inlineStr">
        <is>
          <t>Föryngringsavverkning</t>
        </is>
      </c>
      <c r="D202" s="1" t="n">
        <v>44973</v>
      </c>
      <c r="E202" s="1" t="n">
        <v>46220</v>
      </c>
      <c r="F202" t="inlineStr">
        <is>
          <t>JÖNKÖPINGS LÄN</t>
        </is>
      </c>
      <c r="G202" t="inlineStr">
        <is>
          <t>TRANÅS</t>
        </is>
      </c>
      <c r="H202" t="inlineStr">
        <is>
          <t>Kommuner</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46127-2024</t>
        </is>
      </c>
      <c r="B203" t="inlineStr">
        <is>
          <t>avverkningsanmälan</t>
        </is>
      </c>
      <c r="C203" t="inlineStr">
        <is>
          <t>Föryngringsavverkning</t>
        </is>
      </c>
      <c r="D203" s="1" t="n">
        <v>45581</v>
      </c>
      <c r="E203" s="1" t="n">
        <v>46220</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59017-2021</t>
        </is>
      </c>
      <c r="B204" t="inlineStr">
        <is>
          <t>avverkningsanmälan</t>
        </is>
      </c>
      <c r="C204" t="inlineStr">
        <is>
          <t>Avverkning för annat ändamål</t>
        </is>
      </c>
      <c r="D204" s="1" t="n">
        <v>44489</v>
      </c>
      <c r="E204" s="1" t="n">
        <v>46220</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40212-2022</t>
        </is>
      </c>
      <c r="B205" t="inlineStr">
        <is>
          <t>avverkningsanmälan</t>
        </is>
      </c>
      <c r="C205" t="inlineStr">
        <is>
          <t>Föryngringsavverkning</t>
        </is>
      </c>
      <c r="D205" s="1" t="n">
        <v>44820</v>
      </c>
      <c r="E205" s="1" t="n">
        <v>46220</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54703-2022</t>
        </is>
      </c>
      <c r="B206" t="inlineStr">
        <is>
          <t>avverkningsanmälan</t>
        </is>
      </c>
      <c r="C206" t="inlineStr">
        <is>
          <t>Föryngringsavverkning</t>
        </is>
      </c>
      <c r="D206" s="1" t="n">
        <v>44881</v>
      </c>
      <c r="E206" s="1" t="n">
        <v>46220</v>
      </c>
      <c r="F206" t="inlineStr">
        <is>
          <t>JÖNKÖPINGS LÄN</t>
        </is>
      </c>
      <c r="G206" t="inlineStr">
        <is>
          <t>TRANÅS</t>
        </is>
      </c>
      <c r="I206" t="n">
        <v>6.1</v>
      </c>
      <c r="J206" t="n">
        <v>0</v>
      </c>
      <c r="K206" t="n">
        <v>0</v>
      </c>
      <c r="L206" t="n">
        <v>0</v>
      </c>
      <c r="M206" t="n">
        <v>0</v>
      </c>
      <c r="N206" t="n">
        <v>0</v>
      </c>
      <c r="O206" t="n">
        <v>0</v>
      </c>
      <c r="P206" t="n">
        <v>0</v>
      </c>
      <c r="Q206" t="n">
        <v>0</v>
      </c>
      <c r="R206" t="n">
        <v>0</v>
      </c>
      <c r="S206" t="n">
        <v>0</v>
      </c>
      <c r="T206" t="n">
        <v>0</v>
      </c>
      <c r="U206" s="2" t="inlineStr"/>
    </row>
    <row r="207" ht="15" customHeight="1">
      <c r="A207" t="inlineStr">
        <is>
          <t>A 26512-2026</t>
        </is>
      </c>
      <c r="B207" t="inlineStr">
        <is>
          <t>avverkningsanmälan</t>
        </is>
      </c>
      <c r="C207" t="inlineStr">
        <is>
          <t>Föryngringsavverkning</t>
        </is>
      </c>
      <c r="D207" s="1" t="n">
        <v>46182</v>
      </c>
      <c r="E207" s="1" t="n">
        <v>46220</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1613-2022</t>
        </is>
      </c>
      <c r="B208" t="inlineStr">
        <is>
          <t>avverkningsanmälan</t>
        </is>
      </c>
      <c r="C208" t="inlineStr">
        <is>
          <t>Föryngringsavverkning</t>
        </is>
      </c>
      <c r="D208" s="1" t="n">
        <v>44573</v>
      </c>
      <c r="E208" s="1" t="n">
        <v>46220</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8874-2022</t>
        </is>
      </c>
      <c r="B209" t="inlineStr">
        <is>
          <t>avverkningsanmälan</t>
        </is>
      </c>
      <c r="C209" t="inlineStr">
        <is>
          <t>Avverkning för annat ändamål</t>
        </is>
      </c>
      <c r="D209" s="1" t="n">
        <v>44614</v>
      </c>
      <c r="E209" s="1" t="n">
        <v>46220</v>
      </c>
      <c r="F209" t="inlineStr">
        <is>
          <t>JÖNKÖPINGS LÄN</t>
        </is>
      </c>
      <c r="G209" t="inlineStr">
        <is>
          <t>TRANÅS</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9705-2022</t>
        </is>
      </c>
      <c r="B210" t="inlineStr">
        <is>
          <t>avverkningsanmälan</t>
        </is>
      </c>
      <c r="C210" t="inlineStr">
        <is>
          <t>Föryngringsavverkning</t>
        </is>
      </c>
      <c r="D210" s="1" t="n">
        <v>44617</v>
      </c>
      <c r="E210" s="1" t="n">
        <v>46220</v>
      </c>
      <c r="F210" t="inlineStr">
        <is>
          <t>JÖNKÖPINGS LÄN</t>
        </is>
      </c>
      <c r="G210" t="inlineStr">
        <is>
          <t>TRANÅS</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3421-2024</t>
        </is>
      </c>
      <c r="B211" t="inlineStr">
        <is>
          <t>avverkningsanmälan</t>
        </is>
      </c>
      <c r="C211" t="inlineStr">
        <is>
          <t>Föryngringsavverkning</t>
        </is>
      </c>
      <c r="D211" s="1" t="n">
        <v>45319</v>
      </c>
      <c r="E211" s="1" t="n">
        <v>46220</v>
      </c>
      <c r="F211" t="inlineStr">
        <is>
          <t>JÖNKÖPINGS LÄN</t>
        </is>
      </c>
      <c r="G211" t="inlineStr">
        <is>
          <t>TRANÅS</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41496-2023</t>
        </is>
      </c>
      <c r="B212" t="inlineStr">
        <is>
          <t>avverkningsanmälan</t>
        </is>
      </c>
      <c r="C212" t="inlineStr">
        <is>
          <t>Föryngringsavverkning</t>
        </is>
      </c>
      <c r="D212" s="1" t="n">
        <v>45175</v>
      </c>
      <c r="E212" s="1" t="n">
        <v>46220</v>
      </c>
      <c r="F212" t="inlineStr">
        <is>
          <t>JÖNKÖPINGS LÄN</t>
        </is>
      </c>
      <c r="G212" t="inlineStr">
        <is>
          <t>TRANÅS</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20558-2023</t>
        </is>
      </c>
      <c r="B213" t="inlineStr">
        <is>
          <t>avverkningsanmälan</t>
        </is>
      </c>
      <c r="C213" t="inlineStr">
        <is>
          <t>Föryngringsavverkning</t>
        </is>
      </c>
      <c r="D213" s="1" t="n">
        <v>45057</v>
      </c>
      <c r="E213" s="1" t="n">
        <v>46220</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57038-2021</t>
        </is>
      </c>
      <c r="B214" t="inlineStr">
        <is>
          <t>avverkningsanmälan</t>
        </is>
      </c>
      <c r="C214" t="inlineStr">
        <is>
          <t>Föryngringsavverkning</t>
        </is>
      </c>
      <c r="D214" s="1" t="n">
        <v>44482</v>
      </c>
      <c r="E214" s="1" t="n">
        <v>46220</v>
      </c>
      <c r="F214" t="inlineStr">
        <is>
          <t>JÖNKÖPINGS LÄN</t>
        </is>
      </c>
      <c r="G214" t="inlineStr">
        <is>
          <t>TRANÅS</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48315-2023</t>
        </is>
      </c>
      <c r="B215" t="inlineStr">
        <is>
          <t>avverkningsanmälan</t>
        </is>
      </c>
      <c r="C215" t="inlineStr">
        <is>
          <t>Avverkning för annat ändamål</t>
        </is>
      </c>
      <c r="D215" s="1" t="n">
        <v>45201</v>
      </c>
      <c r="E215" s="1" t="n">
        <v>46220</v>
      </c>
      <c r="F215" t="inlineStr">
        <is>
          <t>JÖNKÖPINGS LÄN</t>
        </is>
      </c>
      <c r="G215" t="inlineStr">
        <is>
          <t>TRANÅS</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644-2023</t>
        </is>
      </c>
      <c r="B216" t="inlineStr">
        <is>
          <t>avverkningsanmälan</t>
        </is>
      </c>
      <c r="C216" t="inlineStr">
        <is>
          <t>Föryngringsavverkning</t>
        </is>
      </c>
      <c r="D216" s="1" t="n">
        <v>44930</v>
      </c>
      <c r="E216" s="1" t="n">
        <v>46220</v>
      </c>
      <c r="F216" t="inlineStr">
        <is>
          <t>JÖNKÖPINGS LÄN</t>
        </is>
      </c>
      <c r="G216" t="inlineStr">
        <is>
          <t>TRANÅS</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27686-2026</t>
        </is>
      </c>
      <c r="B217" t="inlineStr">
        <is>
          <t>avverkningsanmälan</t>
        </is>
      </c>
      <c r="C217" t="inlineStr">
        <is>
          <t>Föryngringsavverkning</t>
        </is>
      </c>
      <c r="D217" s="1" t="n">
        <v>46190</v>
      </c>
      <c r="E217" s="1" t="n">
        <v>46220</v>
      </c>
      <c r="F217" t="inlineStr">
        <is>
          <t>JÖNKÖPINGS LÄN</t>
        </is>
      </c>
      <c r="G217" t="inlineStr">
        <is>
          <t>TRANÅS</t>
        </is>
      </c>
      <c r="H217" t="inlineStr">
        <is>
          <t>Allmännings- och besparingsskogar</t>
        </is>
      </c>
      <c r="I217" t="n">
        <v>11.2</v>
      </c>
      <c r="J217" t="n">
        <v>0</v>
      </c>
      <c r="K217" t="n">
        <v>0</v>
      </c>
      <c r="L217" t="n">
        <v>0</v>
      </c>
      <c r="M217" t="n">
        <v>0</v>
      </c>
      <c r="N217" t="n">
        <v>0</v>
      </c>
      <c r="O217" t="n">
        <v>0</v>
      </c>
      <c r="P217" t="n">
        <v>0</v>
      </c>
      <c r="Q217" t="n">
        <v>0</v>
      </c>
      <c r="R217" t="n">
        <v>0</v>
      </c>
      <c r="S217" t="n">
        <v>0</v>
      </c>
      <c r="T217" t="n">
        <v>0</v>
      </c>
      <c r="U217" s="2" t="inlineStr"/>
    </row>
    <row r="218" ht="15" customHeight="1">
      <c r="A218" t="inlineStr">
        <is>
          <t>A 39600-2024</t>
        </is>
      </c>
      <c r="B218" t="inlineStr">
        <is>
          <t>avverkningsanmälan</t>
        </is>
      </c>
      <c r="C218" t="inlineStr">
        <is>
          <t>Föryngringsavverkning</t>
        </is>
      </c>
      <c r="D218" s="1" t="n">
        <v>45552</v>
      </c>
      <c r="E218" s="1" t="n">
        <v>46220</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27690-2026</t>
        </is>
      </c>
      <c r="B219" t="inlineStr">
        <is>
          <t>avverkningsanmälan</t>
        </is>
      </c>
      <c r="C219" t="inlineStr">
        <is>
          <t>Föryngringsavverkning</t>
        </is>
      </c>
      <c r="D219" s="1" t="n">
        <v>46190</v>
      </c>
      <c r="E219" s="1" t="n">
        <v>46220</v>
      </c>
      <c r="F219" t="inlineStr">
        <is>
          <t>JÖNKÖPINGS LÄN</t>
        </is>
      </c>
      <c r="G219" t="inlineStr">
        <is>
          <t>TRANÅS</t>
        </is>
      </c>
      <c r="H219" t="inlineStr">
        <is>
          <t>Allmännings- och besparingsskogar</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27693-2026</t>
        </is>
      </c>
      <c r="B220" t="inlineStr">
        <is>
          <t>avverkningsanmälan</t>
        </is>
      </c>
      <c r="C220" t="inlineStr">
        <is>
          <t>Föryngringsavverkning</t>
        </is>
      </c>
      <c r="D220" s="1" t="n">
        <v>46190</v>
      </c>
      <c r="E220" s="1" t="n">
        <v>46220</v>
      </c>
      <c r="F220" t="inlineStr">
        <is>
          <t>JÖNKÖPINGS LÄN</t>
        </is>
      </c>
      <c r="G220" t="inlineStr">
        <is>
          <t>TRANÅS</t>
        </is>
      </c>
      <c r="H220" t="inlineStr">
        <is>
          <t>Allmännings- och besparingsskogar</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27957-2026</t>
        </is>
      </c>
      <c r="B221" t="inlineStr">
        <is>
          <t>avverkningsanmälan</t>
        </is>
      </c>
      <c r="C221" t="inlineStr">
        <is>
          <t>Föryngringsavverkning</t>
        </is>
      </c>
      <c r="D221" s="1" t="n">
        <v>46194</v>
      </c>
      <c r="E221" s="1" t="n">
        <v>46220</v>
      </c>
      <c r="F221" t="inlineStr">
        <is>
          <t>JÖNKÖPINGS LÄN</t>
        </is>
      </c>
      <c r="G221" t="inlineStr">
        <is>
          <t>TRANÅS</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52174-2025</t>
        </is>
      </c>
      <c r="B222" t="inlineStr">
        <is>
          <t>avverkningsanmälan</t>
        </is>
      </c>
      <c r="C222" t="inlineStr">
        <is>
          <t>Föryngringsavverkning</t>
        </is>
      </c>
      <c r="D222" s="1" t="n">
        <v>45953</v>
      </c>
      <c r="E222" s="1" t="n">
        <v>46220</v>
      </c>
      <c r="F222" t="inlineStr">
        <is>
          <t>JÖNKÖPINGS LÄN</t>
        </is>
      </c>
      <c r="G222" t="inlineStr">
        <is>
          <t>TRANÅS</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60184-2024</t>
        </is>
      </c>
      <c r="B223" t="inlineStr">
        <is>
          <t>avverkningsanmälan</t>
        </is>
      </c>
      <c r="C223" t="inlineStr">
        <is>
          <t>Föryngringsavverkning</t>
        </is>
      </c>
      <c r="D223" s="1" t="n">
        <v>45639</v>
      </c>
      <c r="E223" s="1" t="n">
        <v>46220</v>
      </c>
      <c r="F223" t="inlineStr">
        <is>
          <t>JÖNKÖPINGS LÄN</t>
        </is>
      </c>
      <c r="G223" t="inlineStr">
        <is>
          <t>TRANÅS</t>
        </is>
      </c>
      <c r="I223" t="n">
        <v>6</v>
      </c>
      <c r="J223" t="n">
        <v>0</v>
      </c>
      <c r="K223" t="n">
        <v>0</v>
      </c>
      <c r="L223" t="n">
        <v>0</v>
      </c>
      <c r="M223" t="n">
        <v>0</v>
      </c>
      <c r="N223" t="n">
        <v>0</v>
      </c>
      <c r="O223" t="n">
        <v>0</v>
      </c>
      <c r="P223" t="n">
        <v>0</v>
      </c>
      <c r="Q223" t="n">
        <v>0</v>
      </c>
      <c r="R223" t="n">
        <v>0</v>
      </c>
      <c r="S223" t="n">
        <v>0</v>
      </c>
      <c r="T223" t="n">
        <v>0</v>
      </c>
      <c r="U223" s="2" t="inlineStr"/>
    </row>
    <row r="224" ht="15" customHeight="1">
      <c r="A224" t="inlineStr">
        <is>
          <t>A 4153-2025</t>
        </is>
      </c>
      <c r="B224" t="inlineStr">
        <is>
          <t>avverkningsanmälan</t>
        </is>
      </c>
      <c r="C224" t="inlineStr">
        <is>
          <t>Föryngringsavverkning</t>
        </is>
      </c>
      <c r="D224" s="1" t="n">
        <v>45685</v>
      </c>
      <c r="E224" s="1" t="n">
        <v>46220</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21459-2025</t>
        </is>
      </c>
      <c r="B225" t="inlineStr">
        <is>
          <t>avverkningsanmälan</t>
        </is>
      </c>
      <c r="C225" t="inlineStr">
        <is>
          <t>Föryngringsavverkning</t>
        </is>
      </c>
      <c r="D225" s="1" t="n">
        <v>45782</v>
      </c>
      <c r="E225" s="1" t="n">
        <v>46220</v>
      </c>
      <c r="F225" t="inlineStr">
        <is>
          <t>JÖNKÖPINGS LÄN</t>
        </is>
      </c>
      <c r="G225" t="inlineStr">
        <is>
          <t>TRANÅS</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28580-2026</t>
        </is>
      </c>
      <c r="B226" t="inlineStr">
        <is>
          <t>avverkningsanmälan</t>
        </is>
      </c>
      <c r="C226" t="inlineStr">
        <is>
          <t>Föryngringsavverkning</t>
        </is>
      </c>
      <c r="D226" s="1" t="n">
        <v>46197</v>
      </c>
      <c r="E226" s="1" t="n">
        <v>46220</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16587-2024</t>
        </is>
      </c>
      <c r="B227" t="inlineStr">
        <is>
          <t>avverkningsanmälan</t>
        </is>
      </c>
      <c r="C227" t="inlineStr">
        <is>
          <t>Föryngringsavverkning</t>
        </is>
      </c>
      <c r="D227" s="1" t="n">
        <v>45408</v>
      </c>
      <c r="E227" s="1" t="n">
        <v>46220</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19494-2022</t>
        </is>
      </c>
      <c r="B228" t="inlineStr">
        <is>
          <t>avverkningsanmälan</t>
        </is>
      </c>
      <c r="C228" t="inlineStr">
        <is>
          <t>Föryngringsavverkning</t>
        </is>
      </c>
      <c r="D228" s="1" t="n">
        <v>44693</v>
      </c>
      <c r="E228" s="1" t="n">
        <v>46220</v>
      </c>
      <c r="F228" t="inlineStr">
        <is>
          <t>JÖNKÖPINGS LÄN</t>
        </is>
      </c>
      <c r="G228" t="inlineStr">
        <is>
          <t>TRANÅS</t>
        </is>
      </c>
      <c r="I228" t="n">
        <v>4.5</v>
      </c>
      <c r="J228" t="n">
        <v>0</v>
      </c>
      <c r="K228" t="n">
        <v>0</v>
      </c>
      <c r="L228" t="n">
        <v>0</v>
      </c>
      <c r="M228" t="n">
        <v>0</v>
      </c>
      <c r="N228" t="n">
        <v>0</v>
      </c>
      <c r="O228" t="n">
        <v>0</v>
      </c>
      <c r="P228" t="n">
        <v>0</v>
      </c>
      <c r="Q228" t="n">
        <v>0</v>
      </c>
      <c r="R228" t="n">
        <v>0</v>
      </c>
      <c r="S228" t="n">
        <v>0</v>
      </c>
      <c r="T228" t="n">
        <v>0</v>
      </c>
      <c r="U228" s="2" t="inlineStr"/>
    </row>
    <row r="229" ht="15" customHeight="1">
      <c r="A229" t="inlineStr">
        <is>
          <t>A 5898-2024</t>
        </is>
      </c>
      <c r="B229" t="inlineStr">
        <is>
          <t>avverkningsanmälan</t>
        </is>
      </c>
      <c r="C229" t="inlineStr">
        <is>
          <t>Avverkning för annat ändamål</t>
        </is>
      </c>
      <c r="D229" s="1" t="n">
        <v>45335</v>
      </c>
      <c r="E229" s="1" t="n">
        <v>46220</v>
      </c>
      <c r="F229" t="inlineStr">
        <is>
          <t>JÖNKÖPINGS LÄN</t>
        </is>
      </c>
      <c r="G229" t="inlineStr">
        <is>
          <t>TRANÅS</t>
        </is>
      </c>
      <c r="H229" t="inlineStr">
        <is>
          <t>Allmännings- och besparingsskogar</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34518-2023</t>
        </is>
      </c>
      <c r="B230" t="inlineStr">
        <is>
          <t>avverkningsanmälan</t>
        </is>
      </c>
      <c r="C230" t="inlineStr">
        <is>
          <t>Föryngringsavverkning</t>
        </is>
      </c>
      <c r="D230" s="1" t="n">
        <v>45140</v>
      </c>
      <c r="E230" s="1" t="n">
        <v>46220</v>
      </c>
      <c r="F230" t="inlineStr">
        <is>
          <t>JÖNKÖPINGS LÄN</t>
        </is>
      </c>
      <c r="G230" t="inlineStr">
        <is>
          <t>TRANÅS</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28814-2026</t>
        </is>
      </c>
      <c r="B231" t="inlineStr">
        <is>
          <t>avverkningsanmälan</t>
        </is>
      </c>
      <c r="C231" t="inlineStr">
        <is>
          <t>Föryngringsavverkning</t>
        </is>
      </c>
      <c r="D231" s="1" t="n">
        <v>46198</v>
      </c>
      <c r="E231" s="1" t="n">
        <v>46220</v>
      </c>
      <c r="F231" t="inlineStr">
        <is>
          <t>JÖNKÖPINGS LÄN</t>
        </is>
      </c>
      <c r="G231" t="inlineStr">
        <is>
          <t>TRANÅS</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31694-2024</t>
        </is>
      </c>
      <c r="B232" t="inlineStr">
        <is>
          <t>avverkningsanmälan</t>
        </is>
      </c>
      <c r="C232" t="inlineStr">
        <is>
          <t>Avverkning för att bevara och utveckla /försöksver</t>
        </is>
      </c>
      <c r="D232" s="1" t="n">
        <v>45508</v>
      </c>
      <c r="E232" s="1" t="n">
        <v>46220</v>
      </c>
      <c r="F232" t="inlineStr">
        <is>
          <t>JÖNKÖPINGS LÄN</t>
        </is>
      </c>
      <c r="G232" t="inlineStr">
        <is>
          <t>TRANÅS</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2768-2024</t>
        </is>
      </c>
      <c r="B233" t="inlineStr">
        <is>
          <t>avverkningsanmälan</t>
        </is>
      </c>
      <c r="C233" t="inlineStr">
        <is>
          <t>Föryngringsavverkning</t>
        </is>
      </c>
      <c r="D233" s="1" t="n">
        <v>45314</v>
      </c>
      <c r="E233" s="1" t="n">
        <v>46220</v>
      </c>
      <c r="F233" t="inlineStr">
        <is>
          <t>JÖNKÖPINGS LÄN</t>
        </is>
      </c>
      <c r="G233" t="inlineStr">
        <is>
          <t>TRANÅS</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48507-2021</t>
        </is>
      </c>
      <c r="B234" t="inlineStr">
        <is>
          <t>avverkningsanmälan</t>
        </is>
      </c>
      <c r="C234" t="inlineStr">
        <is>
          <t>Föryngringsavverkning</t>
        </is>
      </c>
      <c r="D234" s="1" t="n">
        <v>44452</v>
      </c>
      <c r="E234" s="1" t="n">
        <v>46220</v>
      </c>
      <c r="F234" t="inlineStr">
        <is>
          <t>JÖNKÖPINGS LÄN</t>
        </is>
      </c>
      <c r="G234" t="inlineStr">
        <is>
          <t>TRANÅS</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s="2" t="inlineStr"/>
    </row>
    <row r="235" ht="15" customHeight="1">
      <c r="A235" t="inlineStr">
        <is>
          <t>A 29221-2026</t>
        </is>
      </c>
      <c r="B235" t="inlineStr">
        <is>
          <t>avverkningsanmälan</t>
        </is>
      </c>
      <c r="C235" t="inlineStr">
        <is>
          <t>Föryngringsavverkning</t>
        </is>
      </c>
      <c r="D235" s="1" t="n">
        <v>46202</v>
      </c>
      <c r="E235" s="1" t="n">
        <v>46220</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37901-2025</t>
        </is>
      </c>
      <c r="B236" t="inlineStr">
        <is>
          <t>avverkningsanmälan</t>
        </is>
      </c>
      <c r="C236" t="inlineStr">
        <is>
          <t>Föryngringsavverkning</t>
        </is>
      </c>
      <c r="D236" s="1" t="n">
        <v>45880</v>
      </c>
      <c r="E236" s="1" t="n">
        <v>46220</v>
      </c>
      <c r="F236" t="inlineStr">
        <is>
          <t>JÖNKÖPINGS LÄN</t>
        </is>
      </c>
      <c r="G236" t="inlineStr">
        <is>
          <t>TRANÅS</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18728-2024</t>
        </is>
      </c>
      <c r="B237" t="inlineStr">
        <is>
          <t>avverkningsanmälan</t>
        </is>
      </c>
      <c r="C237" t="inlineStr">
        <is>
          <t>Föryngringsavverkning</t>
        </is>
      </c>
      <c r="D237" s="1" t="n">
        <v>45426</v>
      </c>
      <c r="E237" s="1" t="n">
        <v>46220</v>
      </c>
      <c r="F237" t="inlineStr">
        <is>
          <t>JÖNKÖPINGS LÄN</t>
        </is>
      </c>
      <c r="G237" t="inlineStr">
        <is>
          <t>TRANÅS</t>
        </is>
      </c>
      <c r="I237" t="n">
        <v>5.2</v>
      </c>
      <c r="J237" t="n">
        <v>0</v>
      </c>
      <c r="K237" t="n">
        <v>0</v>
      </c>
      <c r="L237" t="n">
        <v>0</v>
      </c>
      <c r="M237" t="n">
        <v>0</v>
      </c>
      <c r="N237" t="n">
        <v>0</v>
      </c>
      <c r="O237" t="n">
        <v>0</v>
      </c>
      <c r="P237" t="n">
        <v>0</v>
      </c>
      <c r="Q237" t="n">
        <v>0</v>
      </c>
      <c r="R237" t="n">
        <v>0</v>
      </c>
      <c r="S237" t="n">
        <v>0</v>
      </c>
      <c r="T237" t="n">
        <v>0</v>
      </c>
      <c r="U237" s="2" t="inlineStr"/>
    </row>
    <row r="238" ht="15" customHeight="1">
      <c r="A238" t="inlineStr">
        <is>
          <t>A 39722-2024</t>
        </is>
      </c>
      <c r="B238" t="inlineStr">
        <is>
          <t>avverkningsanmälan</t>
        </is>
      </c>
      <c r="C238" t="inlineStr">
        <is>
          <t>Föryngringsavverkning</t>
        </is>
      </c>
      <c r="D238" s="1" t="n">
        <v>45552</v>
      </c>
      <c r="E238" s="1" t="n">
        <v>46220</v>
      </c>
      <c r="F238" t="inlineStr">
        <is>
          <t>JÖNKÖPINGS LÄN</t>
        </is>
      </c>
      <c r="G238" t="inlineStr">
        <is>
          <t>TRANÅS</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12070-2024</t>
        </is>
      </c>
      <c r="B239" t="inlineStr">
        <is>
          <t>avverkningsanmälan</t>
        </is>
      </c>
      <c r="C239" t="inlineStr">
        <is>
          <t>Föryngringsavverkning</t>
        </is>
      </c>
      <c r="D239" s="1" t="n">
        <v>45377</v>
      </c>
      <c r="E239" s="1" t="n">
        <v>46220</v>
      </c>
      <c r="F239" t="inlineStr">
        <is>
          <t>JÖNKÖPINGS LÄN</t>
        </is>
      </c>
      <c r="G239" t="inlineStr">
        <is>
          <t>TRANÅS</t>
        </is>
      </c>
      <c r="I239" t="n">
        <v>12.5</v>
      </c>
      <c r="J239" t="n">
        <v>0</v>
      </c>
      <c r="K239" t="n">
        <v>0</v>
      </c>
      <c r="L239" t="n">
        <v>0</v>
      </c>
      <c r="M239" t="n">
        <v>0</v>
      </c>
      <c r="N239" t="n">
        <v>0</v>
      </c>
      <c r="O239" t="n">
        <v>0</v>
      </c>
      <c r="P239" t="n">
        <v>0</v>
      </c>
      <c r="Q239" t="n">
        <v>0</v>
      </c>
      <c r="R239" t="n">
        <v>0</v>
      </c>
      <c r="S239" t="n">
        <v>0</v>
      </c>
      <c r="T239" t="n">
        <v>0</v>
      </c>
      <c r="U239" s="2" t="inlineStr"/>
    </row>
    <row r="240" ht="15" customHeight="1">
      <c r="A240" t="inlineStr">
        <is>
          <t>A 36998-2024</t>
        </is>
      </c>
      <c r="B240" t="inlineStr">
        <is>
          <t>avverkningsanmälan</t>
        </is>
      </c>
      <c r="C240" t="inlineStr">
        <is>
          <t>Avverkning för annat ändamål</t>
        </is>
      </c>
      <c r="D240" s="1" t="n">
        <v>45539</v>
      </c>
      <c r="E240" s="1" t="n">
        <v>46220</v>
      </c>
      <c r="F240" t="inlineStr">
        <is>
          <t>JÖNKÖPINGS LÄN</t>
        </is>
      </c>
      <c r="G240" t="inlineStr">
        <is>
          <t>TRANÅS</t>
        </is>
      </c>
      <c r="I240" t="n">
        <v>5.3</v>
      </c>
      <c r="J240" t="n">
        <v>0</v>
      </c>
      <c r="K240" t="n">
        <v>0</v>
      </c>
      <c r="L240" t="n">
        <v>0</v>
      </c>
      <c r="M240" t="n">
        <v>0</v>
      </c>
      <c r="N240" t="n">
        <v>0</v>
      </c>
      <c r="O240" t="n">
        <v>0</v>
      </c>
      <c r="P240" t="n">
        <v>0</v>
      </c>
      <c r="Q240" t="n">
        <v>0</v>
      </c>
      <c r="R240" t="n">
        <v>0</v>
      </c>
      <c r="S240" t="n">
        <v>0</v>
      </c>
      <c r="T240" t="n">
        <v>0</v>
      </c>
      <c r="U240" s="2" t="inlineStr"/>
    </row>
    <row r="241" ht="15" customHeight="1">
      <c r="A241" t="inlineStr">
        <is>
          <t>A 19771-2023</t>
        </is>
      </c>
      <c r="B241" t="inlineStr">
        <is>
          <t>avverkningsanmälan</t>
        </is>
      </c>
      <c r="C241" t="inlineStr">
        <is>
          <t>Föryngringsavverkning</t>
        </is>
      </c>
      <c r="D241" s="1" t="n">
        <v>45051</v>
      </c>
      <c r="E241" s="1" t="n">
        <v>46220</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s="2" t="inlineStr"/>
    </row>
    <row r="242" ht="15" customHeight="1">
      <c r="A242" t="inlineStr">
        <is>
          <t>A 41501-2025</t>
        </is>
      </c>
      <c r="B242" t="inlineStr">
        <is>
          <t>avverkningsanmälan</t>
        </is>
      </c>
      <c r="C242" t="inlineStr">
        <is>
          <t>Föryngringsavverkning</t>
        </is>
      </c>
      <c r="D242" s="1" t="n">
        <v>45901</v>
      </c>
      <c r="E242" s="1" t="n">
        <v>46220</v>
      </c>
      <c r="F242" t="inlineStr">
        <is>
          <t>JÖNKÖPINGS LÄN</t>
        </is>
      </c>
      <c r="G242" t="inlineStr">
        <is>
          <t>TRANÅS</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18496-2024</t>
        </is>
      </c>
      <c r="B243" t="inlineStr">
        <is>
          <t>avverkningsanmälan</t>
        </is>
      </c>
      <c r="C243" t="inlineStr">
        <is>
          <t>Avverkning för annat ändamål</t>
        </is>
      </c>
      <c r="D243" s="1" t="n">
        <v>45425</v>
      </c>
      <c r="E243" s="1" t="n">
        <v>46220</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39652-2021</t>
        </is>
      </c>
      <c r="B244" t="inlineStr">
        <is>
          <t>avverkningsanmälan</t>
        </is>
      </c>
      <c r="C244" t="inlineStr">
        <is>
          <t>Föryngringsavverkning</t>
        </is>
      </c>
      <c r="D244" s="1" t="n">
        <v>44417</v>
      </c>
      <c r="E244" s="1" t="n">
        <v>46220</v>
      </c>
      <c r="F244" t="inlineStr">
        <is>
          <t>JÖNKÖPINGS LÄN</t>
        </is>
      </c>
      <c r="G244" t="inlineStr">
        <is>
          <t>TRANÅS</t>
        </is>
      </c>
      <c r="H244" t="inlineStr">
        <is>
          <t>Allmännings- och besparingsskogar</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24068-2026</t>
        </is>
      </c>
      <c r="B245" t="inlineStr">
        <is>
          <t>avverkningsanmälan</t>
        </is>
      </c>
      <c r="C245" t="inlineStr">
        <is>
          <t>Föryngringsavverkning</t>
        </is>
      </c>
      <c r="D245" s="1" t="n">
        <v>46164</v>
      </c>
      <c r="E245" s="1" t="n">
        <v>46220</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21319-2023</t>
        </is>
      </c>
      <c r="B246" t="inlineStr">
        <is>
          <t>avverkningsanmälan</t>
        </is>
      </c>
      <c r="C246" t="inlineStr">
        <is>
          <t>Avverkning för annat ändamål</t>
        </is>
      </c>
      <c r="D246" s="1" t="n">
        <v>45062</v>
      </c>
      <c r="E246" s="1" t="n">
        <v>46220</v>
      </c>
      <c r="F246" t="inlineStr">
        <is>
          <t>JÖNKÖPINGS LÄN</t>
        </is>
      </c>
      <c r="G246" t="inlineStr">
        <is>
          <t>TRANÅS</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61393-2023</t>
        </is>
      </c>
      <c r="B247" t="inlineStr">
        <is>
          <t>avverkningsanmälan</t>
        </is>
      </c>
      <c r="C247" t="inlineStr">
        <is>
          <t>Föryngringsavverkning</t>
        </is>
      </c>
      <c r="D247" s="1" t="n">
        <v>45261</v>
      </c>
      <c r="E247" s="1" t="n">
        <v>46220</v>
      </c>
      <c r="F247" t="inlineStr">
        <is>
          <t>JÖNKÖPINGS LÄN</t>
        </is>
      </c>
      <c r="G247" t="inlineStr">
        <is>
          <t>TRANÅS</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40564-2024</t>
        </is>
      </c>
      <c r="B248" t="inlineStr">
        <is>
          <t>avverkningsanmälan</t>
        </is>
      </c>
      <c r="C248" t="inlineStr">
        <is>
          <t>Föryngringsavverkning</t>
        </is>
      </c>
      <c r="D248" s="1" t="n">
        <v>45555</v>
      </c>
      <c r="E248" s="1" t="n">
        <v>46220</v>
      </c>
      <c r="F248" t="inlineStr">
        <is>
          <t>JÖNKÖPINGS LÄN</t>
        </is>
      </c>
      <c r="G248" t="inlineStr">
        <is>
          <t>TRANÅS</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61702-2022</t>
        </is>
      </c>
      <c r="B249" t="inlineStr">
        <is>
          <t>avverkningsanmälan</t>
        </is>
      </c>
      <c r="C249" t="inlineStr">
        <is>
          <t>Föryngringsavverkning</t>
        </is>
      </c>
      <c r="D249" s="1" t="n">
        <v>44917</v>
      </c>
      <c r="E249" s="1" t="n">
        <v>46220</v>
      </c>
      <c r="F249" t="inlineStr">
        <is>
          <t>JÖNKÖPINGS LÄN</t>
        </is>
      </c>
      <c r="G249" t="inlineStr">
        <is>
          <t>TRANÅS</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33201-2025</t>
        </is>
      </c>
      <c r="B250" t="inlineStr">
        <is>
          <t>avverkningsanmälan</t>
        </is>
      </c>
      <c r="C250" t="inlineStr">
        <is>
          <t>Föryngringsavverkning</t>
        </is>
      </c>
      <c r="D250" s="1" t="n">
        <v>45840</v>
      </c>
      <c r="E250" s="1" t="n">
        <v>46220</v>
      </c>
      <c r="F250" t="inlineStr">
        <is>
          <t>JÖNKÖPINGS LÄN</t>
        </is>
      </c>
      <c r="G250" t="inlineStr">
        <is>
          <t>TRANÅS</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54408-2025</t>
        </is>
      </c>
      <c r="B251" t="inlineStr">
        <is>
          <t>avverkningsanmälan</t>
        </is>
      </c>
      <c r="C251" t="inlineStr">
        <is>
          <t>Föryngringsavverkning</t>
        </is>
      </c>
      <c r="D251" s="1" t="n">
        <v>45964</v>
      </c>
      <c r="E251" s="1" t="n">
        <v>46220</v>
      </c>
      <c r="F251" t="inlineStr">
        <is>
          <t>JÖNKÖPINGS LÄN</t>
        </is>
      </c>
      <c r="G251" t="inlineStr">
        <is>
          <t>TRANÅS</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4563-2024</t>
        </is>
      </c>
      <c r="B252" t="inlineStr">
        <is>
          <t>avverkningsanmälan</t>
        </is>
      </c>
      <c r="C252" t="inlineStr">
        <is>
          <t>Föryngringsavverkning</t>
        </is>
      </c>
      <c r="D252" s="1" t="n">
        <v>45327</v>
      </c>
      <c r="E252" s="1" t="n">
        <v>46220</v>
      </c>
      <c r="F252" t="inlineStr">
        <is>
          <t>JÖNKÖPINGS LÄN</t>
        </is>
      </c>
      <c r="G252" t="inlineStr">
        <is>
          <t>TRANÅS</t>
        </is>
      </c>
      <c r="I252" t="n">
        <v>6.1</v>
      </c>
      <c r="J252" t="n">
        <v>0</v>
      </c>
      <c r="K252" t="n">
        <v>0</v>
      </c>
      <c r="L252" t="n">
        <v>0</v>
      </c>
      <c r="M252" t="n">
        <v>0</v>
      </c>
      <c r="N252" t="n">
        <v>0</v>
      </c>
      <c r="O252" t="n">
        <v>0</v>
      </c>
      <c r="P252" t="n">
        <v>0</v>
      </c>
      <c r="Q252" t="n">
        <v>0</v>
      </c>
      <c r="R252" t="n">
        <v>0</v>
      </c>
      <c r="S252" t="n">
        <v>0</v>
      </c>
      <c r="T252" t="n">
        <v>0</v>
      </c>
      <c r="U252" s="2" t="inlineStr"/>
    </row>
    <row r="253" ht="15" customHeight="1">
      <c r="A253" t="inlineStr">
        <is>
          <t>A 16150-2023</t>
        </is>
      </c>
      <c r="B253" t="inlineStr">
        <is>
          <t>avverkningsanmälan</t>
        </is>
      </c>
      <c r="C253" t="inlineStr">
        <is>
          <t>Föryngringsavverkning</t>
        </is>
      </c>
      <c r="D253" s="1" t="n">
        <v>45027</v>
      </c>
      <c r="E253" s="1" t="n">
        <v>46220</v>
      </c>
      <c r="F253" t="inlineStr">
        <is>
          <t>JÖNKÖPINGS LÄN</t>
        </is>
      </c>
      <c r="G253" t="inlineStr">
        <is>
          <t>TRANÅS</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s="2" t="inlineStr"/>
    </row>
    <row r="254" ht="15" customHeight="1">
      <c r="A254" t="inlineStr">
        <is>
          <t>A 37081-2021</t>
        </is>
      </c>
      <c r="B254" t="inlineStr">
        <is>
          <t>avverkningsanmälan</t>
        </is>
      </c>
      <c r="C254" t="inlineStr">
        <is>
          <t>Föryngringsavverkning</t>
        </is>
      </c>
      <c r="D254" s="1" t="n">
        <v>44395</v>
      </c>
      <c r="E254" s="1" t="n">
        <v>46220</v>
      </c>
      <c r="F254" t="inlineStr">
        <is>
          <t>JÖNKÖPINGS LÄN</t>
        </is>
      </c>
      <c r="G254" t="inlineStr">
        <is>
          <t>TRANÅS</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59640-2025</t>
        </is>
      </c>
      <c r="B255" t="inlineStr">
        <is>
          <t>avverkningsanmälan</t>
        </is>
      </c>
      <c r="C255" t="inlineStr">
        <is>
          <t>Avverkning för annat ändamål</t>
        </is>
      </c>
      <c r="D255" s="1" t="n">
        <v>45992</v>
      </c>
      <c r="E255" s="1" t="n">
        <v>46220</v>
      </c>
      <c r="F255" t="inlineStr">
        <is>
          <t>JÖNKÖPINGS LÄN</t>
        </is>
      </c>
      <c r="G255" t="inlineStr">
        <is>
          <t>TRANÅS</t>
        </is>
      </c>
      <c r="I255" t="n">
        <v>4</v>
      </c>
      <c r="J255" t="n">
        <v>0</v>
      </c>
      <c r="K255" t="n">
        <v>0</v>
      </c>
      <c r="L255" t="n">
        <v>0</v>
      </c>
      <c r="M255" t="n">
        <v>0</v>
      </c>
      <c r="N255" t="n">
        <v>0</v>
      </c>
      <c r="O255" t="n">
        <v>0</v>
      </c>
      <c r="P255" t="n">
        <v>0</v>
      </c>
      <c r="Q255" t="n">
        <v>0</v>
      </c>
      <c r="R255" t="n">
        <v>0</v>
      </c>
      <c r="S255" t="n">
        <v>0</v>
      </c>
      <c r="T255" t="n">
        <v>0</v>
      </c>
      <c r="U255" s="2" t="inlineStr"/>
    </row>
    <row r="256" ht="15" customHeight="1">
      <c r="A256" t="inlineStr">
        <is>
          <t>A 20625-2025</t>
        </is>
      </c>
      <c r="B256" t="inlineStr">
        <is>
          <t>avverkningsanmälan</t>
        </is>
      </c>
      <c r="C256" t="inlineStr">
        <is>
          <t>Avverkning för annat ändamål</t>
        </is>
      </c>
      <c r="D256" s="1" t="n">
        <v>45776</v>
      </c>
      <c r="E256" s="1" t="n">
        <v>46220</v>
      </c>
      <c r="F256" t="inlineStr">
        <is>
          <t>JÖNKÖPINGS LÄN</t>
        </is>
      </c>
      <c r="G256" t="inlineStr">
        <is>
          <t>TRANÅS</t>
        </is>
      </c>
      <c r="I256" t="n">
        <v>3.3</v>
      </c>
      <c r="J256" t="n">
        <v>0</v>
      </c>
      <c r="K256" t="n">
        <v>0</v>
      </c>
      <c r="L256" t="n">
        <v>0</v>
      </c>
      <c r="M256" t="n">
        <v>0</v>
      </c>
      <c r="N256" t="n">
        <v>0</v>
      </c>
      <c r="O256" t="n">
        <v>0</v>
      </c>
      <c r="P256" t="n">
        <v>0</v>
      </c>
      <c r="Q256" t="n">
        <v>0</v>
      </c>
      <c r="R256" t="n">
        <v>0</v>
      </c>
      <c r="S256" t="n">
        <v>0</v>
      </c>
      <c r="T256" t="n">
        <v>0</v>
      </c>
      <c r="U256" s="2" t="inlineStr"/>
    </row>
    <row r="257" ht="15" customHeight="1">
      <c r="A257" t="inlineStr">
        <is>
          <t>A 50202-2023</t>
        </is>
      </c>
      <c r="B257" t="inlineStr">
        <is>
          <t>avverkningsanmälan</t>
        </is>
      </c>
      <c r="C257" t="inlineStr">
        <is>
          <t>Föryngringsavverkning</t>
        </is>
      </c>
      <c r="D257" s="1" t="n">
        <v>45215</v>
      </c>
      <c r="E257" s="1" t="n">
        <v>46220</v>
      </c>
      <c r="F257" t="inlineStr">
        <is>
          <t>JÖNKÖPINGS LÄN</t>
        </is>
      </c>
      <c r="G257" t="inlineStr">
        <is>
          <t>TRANÅS</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19328-2025</t>
        </is>
      </c>
      <c r="B258" t="inlineStr">
        <is>
          <t>avverkningsanmälan</t>
        </is>
      </c>
      <c r="C258" t="inlineStr">
        <is>
          <t>Föryngringsavverkning</t>
        </is>
      </c>
      <c r="D258" s="1" t="n">
        <v>45769</v>
      </c>
      <c r="E258" s="1" t="n">
        <v>46220</v>
      </c>
      <c r="F258" t="inlineStr">
        <is>
          <t>JÖNKÖPINGS LÄN</t>
        </is>
      </c>
      <c r="G258" t="inlineStr">
        <is>
          <t>TRANÅS</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46854-2024</t>
        </is>
      </c>
      <c r="B259" t="inlineStr">
        <is>
          <t>avverkningsanmälan</t>
        </is>
      </c>
      <c r="C259" t="inlineStr">
        <is>
          <t>Föryngringsavverkning</t>
        </is>
      </c>
      <c r="D259" s="1" t="n">
        <v>45583</v>
      </c>
      <c r="E259" s="1" t="n">
        <v>46220</v>
      </c>
      <c r="F259" t="inlineStr">
        <is>
          <t>JÖNKÖPINGS LÄN</t>
        </is>
      </c>
      <c r="G259" t="inlineStr">
        <is>
          <t>TRANÅS</t>
        </is>
      </c>
      <c r="I259" t="n">
        <v>6.8</v>
      </c>
      <c r="J259" t="n">
        <v>0</v>
      </c>
      <c r="K259" t="n">
        <v>0</v>
      </c>
      <c r="L259" t="n">
        <v>0</v>
      </c>
      <c r="M259" t="n">
        <v>0</v>
      </c>
      <c r="N259" t="n">
        <v>0</v>
      </c>
      <c r="O259" t="n">
        <v>0</v>
      </c>
      <c r="P259" t="n">
        <v>0</v>
      </c>
      <c r="Q259" t="n">
        <v>0</v>
      </c>
      <c r="R259" t="n">
        <v>0</v>
      </c>
      <c r="S259" t="n">
        <v>0</v>
      </c>
      <c r="T259" t="n">
        <v>0</v>
      </c>
      <c r="U259" s="2" t="inlineStr"/>
    </row>
    <row r="260" ht="15" customHeight="1">
      <c r="A260" t="inlineStr">
        <is>
          <t>A 12474-2024</t>
        </is>
      </c>
      <c r="B260" t="inlineStr">
        <is>
          <t>avverkningsanmälan</t>
        </is>
      </c>
      <c r="C260" t="inlineStr">
        <is>
          <t>Föryngringsavverkning</t>
        </is>
      </c>
      <c r="D260" s="1" t="n">
        <v>45379</v>
      </c>
      <c r="E260" s="1" t="n">
        <v>46220</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12476-2024</t>
        </is>
      </c>
      <c r="B261" t="inlineStr">
        <is>
          <t>avverkningsanmälan</t>
        </is>
      </c>
      <c r="C261" t="inlineStr">
        <is>
          <t>Föryngringsavverkning</t>
        </is>
      </c>
      <c r="D261" s="1" t="n">
        <v>45379</v>
      </c>
      <c r="E261" s="1" t="n">
        <v>46220</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25090-2026</t>
        </is>
      </c>
      <c r="B262" t="inlineStr">
        <is>
          <t>avverkningsanmälan</t>
        </is>
      </c>
      <c r="C262" t="inlineStr">
        <is>
          <t>Föryngringsavverkning</t>
        </is>
      </c>
      <c r="D262" s="1" t="n">
        <v>46175</v>
      </c>
      <c r="E262" s="1" t="n">
        <v>46220</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29654-2026</t>
        </is>
      </c>
      <c r="B263" t="inlineStr">
        <is>
          <t>avverkningsanmälan</t>
        </is>
      </c>
      <c r="C263" t="inlineStr">
        <is>
          <t>Avverkning för annat ändamål</t>
        </is>
      </c>
      <c r="D263" s="1" t="n">
        <v>46204</v>
      </c>
      <c r="E263" s="1" t="n">
        <v>46220</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54791-2023</t>
        </is>
      </c>
      <c r="B264" t="inlineStr">
        <is>
          <t>avverkningsanmälan</t>
        </is>
      </c>
      <c r="C264" t="inlineStr">
        <is>
          <t>Föryngringsavverkning</t>
        </is>
      </c>
      <c r="D264" s="1" t="n">
        <v>45229</v>
      </c>
      <c r="E264" s="1" t="n">
        <v>46220</v>
      </c>
      <c r="F264" t="inlineStr">
        <is>
          <t>JÖNKÖPINGS LÄN</t>
        </is>
      </c>
      <c r="G264" t="inlineStr">
        <is>
          <t>TRANÅS</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10453-2025</t>
        </is>
      </c>
      <c r="B265" t="inlineStr">
        <is>
          <t>avverkningsanmälan</t>
        </is>
      </c>
      <c r="C265" t="inlineStr">
        <is>
          <t>Föryngringsavverkning</t>
        </is>
      </c>
      <c r="D265" s="1" t="n">
        <v>45720</v>
      </c>
      <c r="E265" s="1" t="n">
        <v>46220</v>
      </c>
      <c r="F265" t="inlineStr">
        <is>
          <t>JÖNKÖPINGS LÄN</t>
        </is>
      </c>
      <c r="G265" t="inlineStr">
        <is>
          <t>TRANÅS</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20810-2025</t>
        </is>
      </c>
      <c r="B266" t="inlineStr">
        <is>
          <t>avverkningsanmälan</t>
        </is>
      </c>
      <c r="C266" t="inlineStr">
        <is>
          <t>Föryngringsavverkning</t>
        </is>
      </c>
      <c r="D266" s="1" t="n">
        <v>45776</v>
      </c>
      <c r="E266" s="1" t="n">
        <v>46220</v>
      </c>
      <c r="F266" t="inlineStr">
        <is>
          <t>JÖNKÖPINGS LÄN</t>
        </is>
      </c>
      <c r="G266" t="inlineStr">
        <is>
          <t>TRANÅS</t>
        </is>
      </c>
      <c r="H266" t="inlineStr">
        <is>
          <t>Allmännings- och besparingsskogar</t>
        </is>
      </c>
      <c r="I266" t="n">
        <v>13.8</v>
      </c>
      <c r="J266" t="n">
        <v>0</v>
      </c>
      <c r="K266" t="n">
        <v>0</v>
      </c>
      <c r="L266" t="n">
        <v>0</v>
      </c>
      <c r="M266" t="n">
        <v>0</v>
      </c>
      <c r="N266" t="n">
        <v>0</v>
      </c>
      <c r="O266" t="n">
        <v>0</v>
      </c>
      <c r="P266" t="n">
        <v>0</v>
      </c>
      <c r="Q266" t="n">
        <v>0</v>
      </c>
      <c r="R266" t="n">
        <v>0</v>
      </c>
      <c r="S266" t="n">
        <v>0</v>
      </c>
      <c r="T266" t="n">
        <v>0</v>
      </c>
      <c r="U266" s="2" t="inlineStr"/>
    </row>
    <row r="267" ht="15" customHeight="1">
      <c r="A267" t="inlineStr">
        <is>
          <t>A 30647-2024</t>
        </is>
      </c>
      <c r="B267" t="inlineStr">
        <is>
          <t>avverkningsanmälan</t>
        </is>
      </c>
      <c r="C267" t="inlineStr">
        <is>
          <t>Föryngringsavverkning</t>
        </is>
      </c>
      <c r="D267" s="1" t="n">
        <v>45495</v>
      </c>
      <c r="E267" s="1" t="n">
        <v>46220</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22430-2025</t>
        </is>
      </c>
      <c r="B268" t="inlineStr">
        <is>
          <t>avverkningsanmälan</t>
        </is>
      </c>
      <c r="C268" t="inlineStr">
        <is>
          <t>Föryngringsavverkning</t>
        </is>
      </c>
      <c r="D268" s="1" t="n">
        <v>45786</v>
      </c>
      <c r="E268" s="1" t="n">
        <v>46220</v>
      </c>
      <c r="F268" t="inlineStr">
        <is>
          <t>JÖNKÖPINGS LÄN</t>
        </is>
      </c>
      <c r="G268" t="inlineStr">
        <is>
          <t>TRANÅS</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22620-2025</t>
        </is>
      </c>
      <c r="B269" t="inlineStr">
        <is>
          <t>avverkningsanmälan</t>
        </is>
      </c>
      <c r="C269" t="inlineStr">
        <is>
          <t>Föryngringsavverkning</t>
        </is>
      </c>
      <c r="D269" s="1" t="n">
        <v>45789</v>
      </c>
      <c r="E269" s="1" t="n">
        <v>46220</v>
      </c>
      <c r="F269" t="inlineStr">
        <is>
          <t>JÖNKÖPINGS LÄN</t>
        </is>
      </c>
      <c r="G269" t="inlineStr">
        <is>
          <t>TRANÅS</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20990-2024</t>
        </is>
      </c>
      <c r="B270" t="inlineStr">
        <is>
          <t>avverkningsanmälan</t>
        </is>
      </c>
      <c r="C270" t="inlineStr">
        <is>
          <t>Avverkning för annat ändamål</t>
        </is>
      </c>
      <c r="D270" s="1" t="n">
        <v>45439</v>
      </c>
      <c r="E270" s="1" t="n">
        <v>46220</v>
      </c>
      <c r="F270" t="inlineStr">
        <is>
          <t>JÖNKÖPINGS LÄN</t>
        </is>
      </c>
      <c r="G270" t="inlineStr">
        <is>
          <t>TRANÅS</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33213-2023</t>
        </is>
      </c>
      <c r="B271" t="inlineStr">
        <is>
          <t>avverkningsanmälan</t>
        </is>
      </c>
      <c r="C271" t="inlineStr">
        <is>
          <t>Föryngringsavverkning</t>
        </is>
      </c>
      <c r="D271" s="1" t="n">
        <v>45114</v>
      </c>
      <c r="E271" s="1" t="n">
        <v>46220</v>
      </c>
      <c r="F271" t="inlineStr">
        <is>
          <t>JÖNKÖPINGS LÄN</t>
        </is>
      </c>
      <c r="G271" t="inlineStr">
        <is>
          <t>TRANÅS</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39648-2024</t>
        </is>
      </c>
      <c r="B272" t="inlineStr">
        <is>
          <t>avverkningsanmälan</t>
        </is>
      </c>
      <c r="C272" t="inlineStr">
        <is>
          <t>Föryngringsavverkning</t>
        </is>
      </c>
      <c r="D272" s="1" t="n">
        <v>45552</v>
      </c>
      <c r="E272" s="1" t="n">
        <v>46220</v>
      </c>
      <c r="F272" t="inlineStr">
        <is>
          <t>JÖNKÖPINGS LÄN</t>
        </is>
      </c>
      <c r="G272" t="inlineStr">
        <is>
          <t>TRANÅS</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62578-2023</t>
        </is>
      </c>
      <c r="B273" t="inlineStr">
        <is>
          <t>avverkningsanmälan</t>
        </is>
      </c>
      <c r="C273" t="inlineStr">
        <is>
          <t>Föryngringsavverkning</t>
        </is>
      </c>
      <c r="D273" s="1" t="n">
        <v>45270</v>
      </c>
      <c r="E273" s="1" t="n">
        <v>46220</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S 1292-2023</t>
        </is>
      </c>
      <c r="B274" t="inlineStr">
        <is>
          <t>samrådsanmälan</t>
        </is>
      </c>
      <c r="C274" t="inlineStr">
        <is>
          <t>Askåterföring</t>
        </is>
      </c>
      <c r="D274" s="1" t="n">
        <v>45030</v>
      </c>
      <c r="E274" s="1" t="n">
        <v>46220</v>
      </c>
      <c r="F274" t="inlineStr">
        <is>
          <t>JÖNKÖPINGS LÄN</t>
        </is>
      </c>
      <c r="G274" t="inlineStr">
        <is>
          <t>TRANÅS</t>
        </is>
      </c>
      <c r="I274" t="n">
        <v>28.8</v>
      </c>
      <c r="J274" t="n">
        <v>0</v>
      </c>
      <c r="K274" t="n">
        <v>0</v>
      </c>
      <c r="L274" t="n">
        <v>0</v>
      </c>
      <c r="M274" t="n">
        <v>0</v>
      </c>
      <c r="N274" t="n">
        <v>0</v>
      </c>
      <c r="O274" t="n">
        <v>0</v>
      </c>
      <c r="P274" t="n">
        <v>0</v>
      </c>
      <c r="Q274" t="n">
        <v>0</v>
      </c>
      <c r="R274" t="n">
        <v>0</v>
      </c>
      <c r="S274" t="n">
        <v>0</v>
      </c>
      <c r="T274" t="n">
        <v>0</v>
      </c>
      <c r="U274" s="2" t="inlineStr"/>
    </row>
    <row r="275" ht="15" customHeight="1">
      <c r="A275" t="inlineStr">
        <is>
          <t>S 1793-2022</t>
        </is>
      </c>
      <c r="B275" t="inlineStr">
        <is>
          <t>samrådsanmälan</t>
        </is>
      </c>
      <c r="C275" t="inlineStr">
        <is>
          <t>Åtgärd i nyckelbiotop</t>
        </is>
      </c>
      <c r="D275" s="1" t="n">
        <v>44655</v>
      </c>
      <c r="E275" s="1" t="n">
        <v>46220</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46220</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46220</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46220</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46220</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46220</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46220</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46220</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2026-07-17T01:39:49Z</dcterms:created>
  <dcterms:modified xmlns:dcterms="http://purl.org/dc/terms/" xmlns:xsi="http://www.w3.org/2001/XMLSchema-instance" xsi:type="dcterms:W3CDTF">2026-07-17T01:39:50Z</dcterms:modified>
</cp:coreProperties>
</file>