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46216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46216</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46216</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46216</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46216</v>
      </c>
      <c r="F6" t="inlineStr">
        <is>
          <t>JÖNKÖPINGS LÄN</t>
        </is>
      </c>
      <c r="G6" t="inlineStr">
        <is>
          <t>TRANÅS</t>
        </is>
      </c>
      <c r="I6" t="n">
        <v>3.6</v>
      </c>
      <c r="J6" t="n">
        <v>2</v>
      </c>
      <c r="K6" t="n">
        <v>2</v>
      </c>
      <c r="L6" t="n">
        <v>0</v>
      </c>
      <c r="M6" t="n">
        <v>0</v>
      </c>
      <c r="N6" t="n">
        <v>0</v>
      </c>
      <c r="O6" t="n">
        <v>0</v>
      </c>
      <c r="P6" t="n">
        <v>0</v>
      </c>
      <c r="Q6" t="n">
        <v>0</v>
      </c>
      <c r="R6" t="n">
        <v>0</v>
      </c>
      <c r="S6" t="n">
        <v>4</v>
      </c>
      <c r="T6" t="n">
        <v>5</v>
      </c>
      <c r="U6" s="2" t="inlineStr">
        <is>
          <t>Svart trolldruva
Underviol
Blåsippa
Gullviva</t>
        </is>
      </c>
      <c r="V6">
        <f>HYPERLINK("https://klasma.github.io/Logging_0687/artfynd/A 10480-2023 artfynd.xlsx", "A 10480-2023")</f>
        <v/>
      </c>
      <c r="W6">
        <f>HYPERLINK("https://klasma.github.io/Logging_0687/kartor/A 10480-2023 karta.png", "A 10480-2023")</f>
        <v/>
      </c>
      <c r="Y6">
        <f>HYPERLINK("https://klasma.github.io/Logging_0687/klagomål/A 10480-2023 FSC-klagomål.docx", "A 10480-2023")</f>
        <v/>
      </c>
      <c r="Z6">
        <f>HYPERLINK("https://klasma.github.io/Logging_0687/klagomålsmail/A 10480-2023 FSC-klagomål mail.docx", "A 10480-2023")</f>
        <v/>
      </c>
      <c r="AA6">
        <f>HYPERLINK("https://klasma.github.io/Logging_0687/tillsyn/A 10480-2023 tillsynsbegäran.docx", "A 10480-2023")</f>
        <v/>
      </c>
      <c r="AB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46216</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s="2" t="inlineStr">
        <is>
          <t>Knärot
Grönpyrola
Lopplummer (aggregat)
Revlummer</t>
        </is>
      </c>
      <c r="V7">
        <f>HYPERLINK("https://klasma.github.io/Logging_0687/artfynd/A 4529-2024 artfynd.xlsx", "A 4529-2024")</f>
        <v/>
      </c>
      <c r="W7">
        <f>HYPERLINK("https://klasma.github.io/Logging_0687/kartor/A 4529-2024 karta.png", "A 4529-2024")</f>
        <v/>
      </c>
      <c r="X7">
        <f>HYPERLINK("https://klasma.github.io/Logging_0687/knärot/A 4529-2024 karta knärot.png", "A 4529-2024")</f>
        <v/>
      </c>
      <c r="Y7">
        <f>HYPERLINK("https://klasma.github.io/Logging_0687/klagomål/A 4529-2024 FSC-klagomål.docx", "A 4529-2024")</f>
        <v/>
      </c>
      <c r="Z7">
        <f>HYPERLINK("https://klasma.github.io/Logging_0687/klagomålsmail/A 4529-2024 FSC-klagomål mail.docx", "A 4529-2024")</f>
        <v/>
      </c>
      <c r="AA7">
        <f>HYPERLINK("https://klasma.github.io/Logging_0687/tillsyn/A 4529-2024 tillsynsbegäran.docx", "A 4529-2024")</f>
        <v/>
      </c>
      <c r="AB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46216</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s="2" t="inlineStr">
        <is>
          <t>Enkelbeckasin
Talltita
Tjäder
Kungsfågel</t>
        </is>
      </c>
      <c r="V8">
        <f>HYPERLINK("https://klasma.github.io/Logging_0687/artfynd/A 46324-2025 artfynd.xlsx", "A 46324-2025")</f>
        <v/>
      </c>
      <c r="W8">
        <f>HYPERLINK("https://klasma.github.io/Logging_0687/kartor/A 46324-2025 karta.png", "A 46324-2025")</f>
        <v/>
      </c>
      <c r="Y8">
        <f>HYPERLINK("https://klasma.github.io/Logging_0687/klagomål/A 46324-2025 FSC-klagomål.docx", "A 46324-2025")</f>
        <v/>
      </c>
      <c r="Z8">
        <f>HYPERLINK("https://klasma.github.io/Logging_0687/klagomålsmail/A 46324-2025 FSC-klagomål mail.docx", "A 46324-2025")</f>
        <v/>
      </c>
      <c r="AA8">
        <f>HYPERLINK("https://klasma.github.io/Logging_0687/tillsyn/A 46324-2025 tillsynsbegäran.docx", "A 46324-2025")</f>
        <v/>
      </c>
      <c r="AB8">
        <f>HYPERLINK("https://klasma.github.io/Logging_0687/tillsynsmail/A 46324-2025 tillsynsbegäran mail.docx", "A 46324-2025")</f>
        <v/>
      </c>
      <c r="AC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46216</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46216</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46216</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s="2" t="inlineStr">
        <is>
          <t>Liten hornflikmossa
Svavelriska
Revlummer</t>
        </is>
      </c>
      <c r="V11">
        <f>HYPERLINK("https://klasma.github.io/Logging_0687/artfynd/A 6307-2023 artfynd.xlsx", "A 6307-2023")</f>
        <v/>
      </c>
      <c r="W11">
        <f>HYPERLINK("https://klasma.github.io/Logging_0687/kartor/A 6307-2023 karta.png", "A 6307-2023")</f>
        <v/>
      </c>
      <c r="Y11">
        <f>HYPERLINK("https://klasma.github.io/Logging_0687/klagomål/A 6307-2023 FSC-klagomål.docx", "A 6307-2023")</f>
        <v/>
      </c>
      <c r="Z11">
        <f>HYPERLINK("https://klasma.github.io/Logging_0687/klagomålsmail/A 6307-2023 FSC-klagomål mail.docx", "A 6307-2023")</f>
        <v/>
      </c>
      <c r="AA11">
        <f>HYPERLINK("https://klasma.github.io/Logging_0687/tillsyn/A 6307-2023 tillsynsbegäran.docx", "A 6307-2023")</f>
        <v/>
      </c>
      <c r="AB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46216</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s="2" t="inlineStr">
        <is>
          <t>Vårärt
Underviol
Vätteros</t>
        </is>
      </c>
      <c r="V12">
        <f>HYPERLINK("https://klasma.github.io/Logging_0687/artfynd/A 46815-2025 artfynd.xlsx", "A 46815-2025")</f>
        <v/>
      </c>
      <c r="W12">
        <f>HYPERLINK("https://klasma.github.io/Logging_0687/kartor/A 46815-2025 karta.png", "A 46815-2025")</f>
        <v/>
      </c>
      <c r="Y12">
        <f>HYPERLINK("https://klasma.github.io/Logging_0687/klagomål/A 46815-2025 FSC-klagomål.docx", "A 46815-2025")</f>
        <v/>
      </c>
      <c r="Z12">
        <f>HYPERLINK("https://klasma.github.io/Logging_0687/klagomålsmail/A 46815-2025 FSC-klagomål mail.docx", "A 46815-2025")</f>
        <v/>
      </c>
      <c r="AA12">
        <f>HYPERLINK("https://klasma.github.io/Logging_0687/tillsyn/A 46815-2025 tillsynsbegäran.docx", "A 46815-2025")</f>
        <v/>
      </c>
      <c r="AB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46216</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s="2" t="inlineStr">
        <is>
          <t>Skogsalm
Gullpudra
Hässleklocka</t>
        </is>
      </c>
      <c r="V13">
        <f>HYPERLINK("https://klasma.github.io/Logging_0687/artfynd/A 59532-2025 artfynd.xlsx", "A 59532-2025")</f>
        <v/>
      </c>
      <c r="W13">
        <f>HYPERLINK("https://klasma.github.io/Logging_0687/kartor/A 59532-2025 karta.png", "A 59532-2025")</f>
        <v/>
      </c>
      <c r="Y13">
        <f>HYPERLINK("https://klasma.github.io/Logging_0687/klagomål/A 59532-2025 FSC-klagomål.docx", "A 59532-2025")</f>
        <v/>
      </c>
      <c r="Z13">
        <f>HYPERLINK("https://klasma.github.io/Logging_0687/klagomålsmail/A 59532-2025 FSC-klagomål mail.docx", "A 59532-2025")</f>
        <v/>
      </c>
      <c r="AA13">
        <f>HYPERLINK("https://klasma.github.io/Logging_0687/tillsyn/A 59532-2025 tillsynsbegäran.docx", "A 59532-2025")</f>
        <v/>
      </c>
      <c r="AB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46216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s="2" t="inlineStr">
        <is>
          <t>Fältgentiana
Svinrot
Åkerväddsantennmal</t>
        </is>
      </c>
      <c r="V14">
        <f>HYPERLINK("https://klasma.github.io/Logging_0687/artfynd/A 18179-2024 artfynd.xlsx", "A 18179-2024")</f>
        <v/>
      </c>
      <c r="W14">
        <f>HYPERLINK("https://klasma.github.io/Logging_0687/kartor/A 18179-2024 karta.png", "A 18179-2024")</f>
        <v/>
      </c>
      <c r="Y14">
        <f>HYPERLINK("https://klasma.github.io/Logging_0687/klagomål/A 18179-2024 FSC-klagomål.docx", "A 18179-2024")</f>
        <v/>
      </c>
      <c r="Z14">
        <f>HYPERLINK("https://klasma.github.io/Logging_0687/klagomålsmail/A 18179-2024 FSC-klagomål mail.docx", "A 18179-2024")</f>
        <v/>
      </c>
      <c r="AA14">
        <f>HYPERLINK("https://klasma.github.io/Logging_0687/tillsyn/A 18179-2024 tillsynsbegäran.docx", "A 18179-2024")</f>
        <v/>
      </c>
      <c r="AB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46216</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s="2" t="inlineStr">
        <is>
          <t>Rördrom
Rörsångare</t>
        </is>
      </c>
      <c r="V15">
        <f>HYPERLINK("https://klasma.github.io/Logging_0687/artfynd/A 50634-2023 artfynd.xlsx", "A 50634-2023")</f>
        <v/>
      </c>
      <c r="W15">
        <f>HYPERLINK("https://klasma.github.io/Logging_0687/kartor/A 50634-2023 karta.png", "A 50634-2023")</f>
        <v/>
      </c>
      <c r="Y15">
        <f>HYPERLINK("https://klasma.github.io/Logging_0687/klagomål/A 50634-2023 FSC-klagomål.docx", "A 50634-2023")</f>
        <v/>
      </c>
      <c r="Z15">
        <f>HYPERLINK("https://klasma.github.io/Logging_0687/klagomålsmail/A 50634-2023 FSC-klagomål mail.docx", "A 50634-2023")</f>
        <v/>
      </c>
      <c r="AA15">
        <f>HYPERLINK("https://klasma.github.io/Logging_0687/tillsyn/A 50634-2023 tillsynsbegäran.docx", "A 50634-2023")</f>
        <v/>
      </c>
      <c r="AB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46216</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s="2" t="inlineStr">
        <is>
          <t>Sommarfibbla
Svinrot</t>
        </is>
      </c>
      <c r="V16">
        <f>HYPERLINK("https://klasma.github.io/Logging_0687/artfynd/A 59046-2025 artfynd.xlsx", "A 59046-2025")</f>
        <v/>
      </c>
      <c r="W16">
        <f>HYPERLINK("https://klasma.github.io/Logging_0687/kartor/A 59046-2025 karta.png", "A 59046-2025")</f>
        <v/>
      </c>
      <c r="Y16">
        <f>HYPERLINK("https://klasma.github.io/Logging_0687/klagomål/A 59046-2025 FSC-klagomål.docx", "A 59046-2025")</f>
        <v/>
      </c>
      <c r="Z16">
        <f>HYPERLINK("https://klasma.github.io/Logging_0687/klagomålsmail/A 59046-2025 FSC-klagomål mail.docx", "A 59046-2025")</f>
        <v/>
      </c>
      <c r="AA16">
        <f>HYPERLINK("https://klasma.github.io/Logging_0687/tillsyn/A 59046-2025 tillsynsbegäran.docx", "A 59046-2025")</f>
        <v/>
      </c>
      <c r="AB16">
        <f>HYPERLINK("https://klasma.github.io/Logging_0687/tillsynsmail/A 59046-2025 tillsynsbegäran mail.docx", "A 59046-2025")</f>
        <v/>
      </c>
    </row>
    <row r="17" ht="15" customHeight="1">
      <c r="A17" t="inlineStr">
        <is>
          <t>A 29486-2023</t>
        </is>
      </c>
      <c r="B17" t="inlineStr">
        <is>
          <t>avverkningsanmälan</t>
        </is>
      </c>
      <c r="C17" t="inlineStr">
        <is>
          <t>Föryngringsavverkning</t>
        </is>
      </c>
      <c r="D17" s="1" t="n">
        <v>45106</v>
      </c>
      <c r="E17" s="1" t="n">
        <v>46216</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s="2" t="inlineStr">
        <is>
          <t>Åkerrättika
Klofibbla</t>
        </is>
      </c>
      <c r="V17">
        <f>HYPERLINK("https://klasma.github.io/Logging_0687/artfynd/A 29486-2023 artfynd.xlsx", "A 29486-2023")</f>
        <v/>
      </c>
      <c r="W17">
        <f>HYPERLINK("https://klasma.github.io/Logging_0687/kartor/A 29486-2023 karta.png", "A 29486-2023")</f>
        <v/>
      </c>
      <c r="Y17">
        <f>HYPERLINK("https://klasma.github.io/Logging_0687/klagomål/A 29486-2023 FSC-klagomål.docx", "A 29486-2023")</f>
        <v/>
      </c>
      <c r="Z17">
        <f>HYPERLINK("https://klasma.github.io/Logging_0687/klagomålsmail/A 29486-2023 FSC-klagomål mail.docx", "A 29486-2023")</f>
        <v/>
      </c>
      <c r="AA17">
        <f>HYPERLINK("https://klasma.github.io/Logging_0687/tillsyn/A 29486-2023 tillsynsbegäran.docx", "A 29486-2023")</f>
        <v/>
      </c>
      <c r="AB17">
        <f>HYPERLINK("https://klasma.github.io/Logging_0687/tillsynsmail/A 29486-2023 tillsynsbegäran mail.docx", "A 29486-2023")</f>
        <v/>
      </c>
    </row>
    <row r="18" ht="15" customHeight="1">
      <c r="A18" t="inlineStr">
        <is>
          <t>A 59543-2022</t>
        </is>
      </c>
      <c r="B18" t="inlineStr">
        <is>
          <t>avverkningsanmälan</t>
        </is>
      </c>
      <c r="C18" t="inlineStr">
        <is>
          <t>Föryngringsavverkning</t>
        </is>
      </c>
      <c r="D18" s="1" t="n">
        <v>44900</v>
      </c>
      <c r="E18" s="1" t="n">
        <v>46216</v>
      </c>
      <c r="F18" t="inlineStr">
        <is>
          <t>JÖNKÖPINGS LÄN</t>
        </is>
      </c>
      <c r="G18" t="inlineStr">
        <is>
          <t>TRANÅS</t>
        </is>
      </c>
      <c r="I18" t="n">
        <v>2.6</v>
      </c>
      <c r="J18" t="n">
        <v>2</v>
      </c>
      <c r="K18" t="n">
        <v>0</v>
      </c>
      <c r="L18" t="n">
        <v>0</v>
      </c>
      <c r="M18" t="n">
        <v>0</v>
      </c>
      <c r="N18" t="n">
        <v>0</v>
      </c>
      <c r="O18" t="n">
        <v>0</v>
      </c>
      <c r="P18" t="n">
        <v>0</v>
      </c>
      <c r="Q18" t="n">
        <v>0</v>
      </c>
      <c r="R18" t="n">
        <v>0</v>
      </c>
      <c r="S18" t="n">
        <v>2</v>
      </c>
      <c r="T18" t="n">
        <v>4</v>
      </c>
      <c r="U18" s="2" t="inlineStr">
        <is>
          <t>Större vattensalamander
Mindre vattensalamander</t>
        </is>
      </c>
      <c r="V18">
        <f>HYPERLINK("https://klasma.github.io/Logging_0687/artfynd/A 59543-2022 artfynd.xlsx", "A 59543-2022")</f>
        <v/>
      </c>
      <c r="W18">
        <f>HYPERLINK("https://klasma.github.io/Logging_0687/kartor/A 59543-2022 karta.png", "A 59543-2022")</f>
        <v/>
      </c>
      <c r="Y18">
        <f>HYPERLINK("https://klasma.github.io/Logging_0687/klagomål/A 59543-2022 FSC-klagomål.docx", "A 59543-2022")</f>
        <v/>
      </c>
      <c r="Z18">
        <f>HYPERLINK("https://klasma.github.io/Logging_0687/klagomålsmail/A 59543-2022 FSC-klagomål mail.docx", "A 59543-2022")</f>
        <v/>
      </c>
      <c r="AA18">
        <f>HYPERLINK("https://klasma.github.io/Logging_0687/tillsyn/A 59543-2022 tillsynsbegäran.docx", "A 59543-2022")</f>
        <v/>
      </c>
      <c r="AB18">
        <f>HYPERLINK("https://klasma.github.io/Logging_0687/tillsynsmail/A 59543-2022 tillsynsbegäran mail.docx", "A 59543-2022")</f>
        <v/>
      </c>
    </row>
    <row r="19" ht="15" customHeight="1">
      <c r="A19" t="inlineStr">
        <is>
          <t>A 22417-2025</t>
        </is>
      </c>
      <c r="B19" t="inlineStr">
        <is>
          <t>avverkningsanmälan</t>
        </is>
      </c>
      <c r="C19" t="inlineStr">
        <is>
          <t>Föryngringsavverkning</t>
        </is>
      </c>
      <c r="D19" s="1" t="n">
        <v>45786</v>
      </c>
      <c r="E19" s="1" t="n">
        <v>46216</v>
      </c>
      <c r="F19" t="inlineStr">
        <is>
          <t>JÖNKÖPINGS LÄN</t>
        </is>
      </c>
      <c r="G19" t="inlineStr">
        <is>
          <t>TRANÅS</t>
        </is>
      </c>
      <c r="I19" t="n">
        <v>1.3</v>
      </c>
      <c r="J19" t="n">
        <v>1</v>
      </c>
      <c r="K19" t="n">
        <v>1</v>
      </c>
      <c r="L19" t="n">
        <v>0</v>
      </c>
      <c r="M19" t="n">
        <v>0</v>
      </c>
      <c r="N19" t="n">
        <v>0</v>
      </c>
      <c r="O19" t="n">
        <v>0</v>
      </c>
      <c r="P19" t="n">
        <v>0</v>
      </c>
      <c r="Q19" t="n">
        <v>0</v>
      </c>
      <c r="R19" t="n">
        <v>0</v>
      </c>
      <c r="S19" t="n">
        <v>2</v>
      </c>
      <c r="T19" t="n">
        <v>2</v>
      </c>
      <c r="U19" s="2" t="inlineStr">
        <is>
          <t>Vätteros
Revlummer</t>
        </is>
      </c>
      <c r="V19">
        <f>HYPERLINK("https://klasma.github.io/Logging_0687/artfynd/A 22417-2025 artfynd.xlsx", "A 22417-2025")</f>
        <v/>
      </c>
      <c r="W19">
        <f>HYPERLINK("https://klasma.github.io/Logging_0687/kartor/A 22417-2025 karta.png", "A 22417-2025")</f>
        <v/>
      </c>
      <c r="Y19">
        <f>HYPERLINK("https://klasma.github.io/Logging_0687/klagomål/A 22417-2025 FSC-klagomål.docx", "A 22417-2025")</f>
        <v/>
      </c>
      <c r="Z19">
        <f>HYPERLINK("https://klasma.github.io/Logging_0687/klagomålsmail/A 22417-2025 FSC-klagomål mail.docx", "A 22417-2025")</f>
        <v/>
      </c>
      <c r="AA19">
        <f>HYPERLINK("https://klasma.github.io/Logging_0687/tillsyn/A 22417-2025 tillsynsbegäran.docx", "A 22417-2025")</f>
        <v/>
      </c>
      <c r="AB19">
        <f>HYPERLINK("https://klasma.github.io/Logging_0687/tillsynsmail/A 22417-2025 tillsynsbegäran mail.docx", "A 22417-2025")</f>
        <v/>
      </c>
    </row>
    <row r="20" ht="15" customHeight="1">
      <c r="A20" t="inlineStr">
        <is>
          <t>S 744-2023</t>
        </is>
      </c>
      <c r="B20" t="inlineStr">
        <is>
          <t>samrådsanmälan</t>
        </is>
      </c>
      <c r="C20" t="inlineStr">
        <is>
          <t>Annan skogsbruksåtgärd</t>
        </is>
      </c>
      <c r="D20" s="1" t="n">
        <v>44980</v>
      </c>
      <c r="E20" s="1" t="n">
        <v>46216</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s="2" t="inlineStr">
        <is>
          <t>Ljus flikfibbla
Blåsippa</t>
        </is>
      </c>
      <c r="V20">
        <f>HYPERLINK("https://klasma.github.io/Logging_0687/artfynd/S 744-2023 artfynd.xlsx", "S 744-2023")</f>
        <v/>
      </c>
      <c r="W20">
        <f>HYPERLINK("https://klasma.github.io/Logging_0687/kartor/S 744-2023 karta.png", "S 744-2023")</f>
        <v/>
      </c>
      <c r="Y20">
        <f>HYPERLINK("https://klasma.github.io/Logging_0687/klagomål/S 744-2023 FSC-klagomål.docx", "S 744-2023")</f>
        <v/>
      </c>
      <c r="Z20">
        <f>HYPERLINK("https://klasma.github.io/Logging_0687/klagomålsmail/S 744-2023 FSC-klagomål mail.docx", "S 744-2023")</f>
        <v/>
      </c>
      <c r="AA20">
        <f>HYPERLINK("https://klasma.github.io/Logging_0687/tillsyn/S 744-2023 tillsynsbegäran.docx", "S 744-2023")</f>
        <v/>
      </c>
      <c r="AB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46216</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s="2" t="inlineStr">
        <is>
          <t>Ängsnycklar</t>
        </is>
      </c>
      <c r="V21">
        <f>HYPERLINK("https://klasma.github.io/Logging_0687/artfynd/A 26395-2022 artfynd.xlsx", "A 26395-2022")</f>
        <v/>
      </c>
      <c r="W21">
        <f>HYPERLINK("https://klasma.github.io/Logging_0687/kartor/A 26395-2022 karta.png", "A 26395-2022")</f>
        <v/>
      </c>
      <c r="Y21">
        <f>HYPERLINK("https://klasma.github.io/Logging_0687/klagomål/A 26395-2022 FSC-klagomål.docx", "A 26395-2022")</f>
        <v/>
      </c>
      <c r="Z21">
        <f>HYPERLINK("https://klasma.github.io/Logging_0687/klagomålsmail/A 26395-2022 FSC-klagomål mail.docx", "A 26395-2022")</f>
        <v/>
      </c>
      <c r="AA21">
        <f>HYPERLINK("https://klasma.github.io/Logging_0687/tillsyn/A 26395-2022 tillsynsbegäran.docx", "A 26395-2022")</f>
        <v/>
      </c>
      <c r="AB21">
        <f>HYPERLINK("https://klasma.github.io/Logging_0687/tillsynsmail/A 26395-2022 tillsynsbegäran mail.docx", "A 26395-2022")</f>
        <v/>
      </c>
    </row>
    <row r="22" ht="15" customHeight="1">
      <c r="A22" t="inlineStr">
        <is>
          <t>A 23033-2022</t>
        </is>
      </c>
      <c r="B22" t="inlineStr">
        <is>
          <t>avverkningsanmälan</t>
        </is>
      </c>
      <c r="C22" t="inlineStr">
        <is>
          <t>Avverkning för annat ändamål</t>
        </is>
      </c>
      <c r="D22" s="1" t="n">
        <v>44719</v>
      </c>
      <c r="E22" s="1" t="n">
        <v>46216</v>
      </c>
      <c r="F22" t="inlineStr">
        <is>
          <t>JÖNKÖPINGS LÄN</t>
        </is>
      </c>
      <c r="G22" t="inlineStr">
        <is>
          <t>TRANÅS</t>
        </is>
      </c>
      <c r="H22" t="inlineStr">
        <is>
          <t>Kommuner</t>
        </is>
      </c>
      <c r="I22" t="n">
        <v>5.1</v>
      </c>
      <c r="J22" t="n">
        <v>0</v>
      </c>
      <c r="K22" t="n">
        <v>1</v>
      </c>
      <c r="L22" t="n">
        <v>0</v>
      </c>
      <c r="M22" t="n">
        <v>0</v>
      </c>
      <c r="N22" t="n">
        <v>0</v>
      </c>
      <c r="O22" t="n">
        <v>0</v>
      </c>
      <c r="P22" t="n">
        <v>0</v>
      </c>
      <c r="Q22" t="n">
        <v>0</v>
      </c>
      <c r="R22" t="n">
        <v>0</v>
      </c>
      <c r="S22" t="n">
        <v>1</v>
      </c>
      <c r="T22" t="n">
        <v>2</v>
      </c>
      <c r="U22" s="2" t="inlineStr">
        <is>
          <t>Kantjordstjärna</t>
        </is>
      </c>
      <c r="V22">
        <f>HYPERLINK("https://klasma.github.io/Logging_0687/artfynd/A 23033-2022 artfynd.xlsx", "A 23033-2022")</f>
        <v/>
      </c>
      <c r="W22">
        <f>HYPERLINK("https://klasma.github.io/Logging_0687/kartor/A 23033-2022 karta.png", "A 23033-2022")</f>
        <v/>
      </c>
      <c r="Y22">
        <f>HYPERLINK("https://klasma.github.io/Logging_0687/klagomål/A 23033-2022 FSC-klagomål.docx", "A 23033-2022")</f>
        <v/>
      </c>
      <c r="Z22">
        <f>HYPERLINK("https://klasma.github.io/Logging_0687/klagomålsmail/A 23033-2022 FSC-klagomål mail.docx", "A 23033-2022")</f>
        <v/>
      </c>
      <c r="AA22">
        <f>HYPERLINK("https://klasma.github.io/Logging_0687/tillsyn/A 23033-2022 tillsynsbegäran.docx", "A 23033-2022")</f>
        <v/>
      </c>
      <c r="AB22">
        <f>HYPERLINK("https://klasma.github.io/Logging_0687/tillsynsmail/A 23033-2022 tillsynsbegäran mail.docx", "A 23033-2022")</f>
        <v/>
      </c>
    </row>
    <row r="23" ht="15" customHeight="1">
      <c r="A23" t="inlineStr">
        <is>
          <t>A 44235-2025</t>
        </is>
      </c>
      <c r="B23" t="inlineStr">
        <is>
          <t>avverkningsanmälan</t>
        </is>
      </c>
      <c r="C23" t="inlineStr">
        <is>
          <t>Föryngringsavverkning</t>
        </is>
      </c>
      <c r="D23" s="1" t="n">
        <v>45915</v>
      </c>
      <c r="E23" s="1" t="n">
        <v>46216</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s="2" t="inlineStr">
        <is>
          <t>Ask</t>
        </is>
      </c>
      <c r="V23">
        <f>HYPERLINK("https://klasma.github.io/Logging_0687/artfynd/A 44235-2025 artfynd.xlsx", "A 44235-2025")</f>
        <v/>
      </c>
      <c r="W23">
        <f>HYPERLINK("https://klasma.github.io/Logging_0687/kartor/A 44235-2025 karta.png", "A 44235-2025")</f>
        <v/>
      </c>
      <c r="Y23">
        <f>HYPERLINK("https://klasma.github.io/Logging_0687/klagomål/A 44235-2025 FSC-klagomål.docx", "A 44235-2025")</f>
        <v/>
      </c>
      <c r="Z23">
        <f>HYPERLINK("https://klasma.github.io/Logging_0687/klagomålsmail/A 44235-2025 FSC-klagomål mail.docx", "A 44235-2025")</f>
        <v/>
      </c>
      <c r="AA23">
        <f>HYPERLINK("https://klasma.github.io/Logging_0687/tillsyn/A 44235-2025 tillsynsbegäran.docx", "A 44235-2025")</f>
        <v/>
      </c>
      <c r="AB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46216</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s="2" t="inlineStr">
        <is>
          <t>Ask</t>
        </is>
      </c>
      <c r="V24">
        <f>HYPERLINK("https://klasma.github.io/Logging_0687/artfynd/A 44723-2025 artfynd.xlsx", "A 44723-2025")</f>
        <v/>
      </c>
      <c r="W24">
        <f>HYPERLINK("https://klasma.github.io/Logging_0687/kartor/A 44723-2025 karta.png", "A 44723-2025")</f>
        <v/>
      </c>
      <c r="Y24">
        <f>HYPERLINK("https://klasma.github.io/Logging_0687/klagomål/A 44723-2025 FSC-klagomål.docx", "A 44723-2025")</f>
        <v/>
      </c>
      <c r="Z24">
        <f>HYPERLINK("https://klasma.github.io/Logging_0687/klagomålsmail/A 44723-2025 FSC-klagomål mail.docx", "A 44723-2025")</f>
        <v/>
      </c>
      <c r="AA24">
        <f>HYPERLINK("https://klasma.github.io/Logging_0687/tillsyn/A 44723-2025 tillsynsbegäran.docx", "A 44723-2025")</f>
        <v/>
      </c>
      <c r="AB24">
        <f>HYPERLINK("https://klasma.github.io/Logging_0687/tillsynsmail/A 44723-2025 tillsynsbegäran mail.docx", "A 44723-2025")</f>
        <v/>
      </c>
    </row>
    <row r="25" ht="15" customHeight="1">
      <c r="A25" t="inlineStr">
        <is>
          <t>A 20278-2025</t>
        </is>
      </c>
      <c r="B25" t="inlineStr">
        <is>
          <t>avverkningsanmälan</t>
        </is>
      </c>
      <c r="C25" t="inlineStr">
        <is>
          <t>Föryngringsavverkning</t>
        </is>
      </c>
      <c r="D25" s="1" t="n">
        <v>45774</v>
      </c>
      <c r="E25" s="1" t="n">
        <v>46216</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s="2" t="inlineStr">
        <is>
          <t>Spillkråka</t>
        </is>
      </c>
      <c r="V25">
        <f>HYPERLINK("https://klasma.github.io/Logging_0687/artfynd/A 20278-2025 artfynd.xlsx", "A 20278-2025")</f>
        <v/>
      </c>
      <c r="W25">
        <f>HYPERLINK("https://klasma.github.io/Logging_0687/kartor/A 20278-2025 karta.png", "A 20278-2025")</f>
        <v/>
      </c>
      <c r="Y25">
        <f>HYPERLINK("https://klasma.github.io/Logging_0687/klagomål/A 20278-2025 FSC-klagomål.docx", "A 20278-2025")</f>
        <v/>
      </c>
      <c r="Z25">
        <f>HYPERLINK("https://klasma.github.io/Logging_0687/klagomålsmail/A 20278-2025 FSC-klagomål mail.docx", "A 20278-2025")</f>
        <v/>
      </c>
      <c r="AA25">
        <f>HYPERLINK("https://klasma.github.io/Logging_0687/tillsyn/A 20278-2025 tillsynsbegäran.docx", "A 20278-2025")</f>
        <v/>
      </c>
      <c r="AB25">
        <f>HYPERLINK("https://klasma.github.io/Logging_0687/tillsynsmail/A 20278-2025 tillsynsbegäran mail.docx", "A 20278-2025")</f>
        <v/>
      </c>
      <c r="AC25">
        <f>HYPERLINK("https://klasma.github.io/Logging_0687/fåglar/A 20278-2025 prioriterade fågelarter.docx", "A 20278-2025")</f>
        <v/>
      </c>
    </row>
    <row r="26" ht="15" customHeight="1">
      <c r="A26" t="inlineStr">
        <is>
          <t>A 9977-2022</t>
        </is>
      </c>
      <c r="B26" t="inlineStr">
        <is>
          <t>avverkningsanmälan</t>
        </is>
      </c>
      <c r="C26" t="inlineStr">
        <is>
          <t>Föryngringsavverkning</t>
        </is>
      </c>
      <c r="D26" s="1" t="n">
        <v>44621</v>
      </c>
      <c r="E26" s="1" t="n">
        <v>46216</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s="2" t="inlineStr">
        <is>
          <t>Blåsippa</t>
        </is>
      </c>
      <c r="V26">
        <f>HYPERLINK("https://klasma.github.io/Logging_0687/artfynd/A 9977-2022 artfynd.xlsx", "A 9977-2022")</f>
        <v/>
      </c>
      <c r="W26">
        <f>HYPERLINK("https://klasma.github.io/Logging_0687/kartor/A 9977-2022 karta.png", "A 9977-2022")</f>
        <v/>
      </c>
      <c r="Y26">
        <f>HYPERLINK("https://klasma.github.io/Logging_0687/klagomål/A 9977-2022 FSC-klagomål.docx", "A 9977-2022")</f>
        <v/>
      </c>
      <c r="Z26">
        <f>HYPERLINK("https://klasma.github.io/Logging_0687/klagomålsmail/A 9977-2022 FSC-klagomål mail.docx", "A 9977-2022")</f>
        <v/>
      </c>
      <c r="AA26">
        <f>HYPERLINK("https://klasma.github.io/Logging_0687/tillsyn/A 9977-2022 tillsynsbegäran.docx", "A 9977-2022")</f>
        <v/>
      </c>
      <c r="AB26">
        <f>HYPERLINK("https://klasma.github.io/Logging_0687/tillsynsmail/A 9977-2022 tillsynsbegäran mail.docx", "A 9977-2022")</f>
        <v/>
      </c>
    </row>
    <row r="27" ht="15" customHeight="1">
      <c r="A27" t="inlineStr">
        <is>
          <t>A 31857-2024</t>
        </is>
      </c>
      <c r="B27" t="inlineStr">
        <is>
          <t>avverkningsanmälan</t>
        </is>
      </c>
      <c r="C27" t="inlineStr">
        <is>
          <t>Föryngringsavverkning</t>
        </is>
      </c>
      <c r="D27" s="1" t="n">
        <v>45509</v>
      </c>
      <c r="E27" s="1" t="n">
        <v>46216</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s="2" t="inlineStr">
        <is>
          <t>Ryl</t>
        </is>
      </c>
      <c r="V27">
        <f>HYPERLINK("https://klasma.github.io/Logging_0687/artfynd/A 31857-2024 artfynd.xlsx", "A 31857-2024")</f>
        <v/>
      </c>
      <c r="W27">
        <f>HYPERLINK("https://klasma.github.io/Logging_0687/kartor/A 31857-2024 karta.png", "A 31857-2024")</f>
        <v/>
      </c>
      <c r="Y27">
        <f>HYPERLINK("https://klasma.github.io/Logging_0687/klagomål/A 31857-2024 FSC-klagomål.docx", "A 31857-2024")</f>
        <v/>
      </c>
      <c r="Z27">
        <f>HYPERLINK("https://klasma.github.io/Logging_0687/klagomålsmail/A 31857-2024 FSC-klagomål mail.docx", "A 31857-2024")</f>
        <v/>
      </c>
      <c r="AA27">
        <f>HYPERLINK("https://klasma.github.io/Logging_0687/tillsyn/A 31857-2024 tillsynsbegäran.docx", "A 31857-2024")</f>
        <v/>
      </c>
      <c r="AB27">
        <f>HYPERLINK("https://klasma.github.io/Logging_0687/tillsynsmail/A 31857-2024 tillsynsbegäran mail.docx", "A 31857-2024")</f>
        <v/>
      </c>
    </row>
    <row r="28" ht="15" customHeight="1">
      <c r="A28" t="inlineStr">
        <is>
          <t>A 20822-2024</t>
        </is>
      </c>
      <c r="B28" t="inlineStr">
        <is>
          <t>avverkningsanmälan</t>
        </is>
      </c>
      <c r="C28" t="inlineStr">
        <is>
          <t>Föryngringsavverkning</t>
        </is>
      </c>
      <c r="D28" s="1" t="n">
        <v>45439</v>
      </c>
      <c r="E28" s="1" t="n">
        <v>46216</v>
      </c>
      <c r="F28" t="inlineStr">
        <is>
          <t>JÖNKÖPINGS LÄN</t>
        </is>
      </c>
      <c r="G28" t="inlineStr">
        <is>
          <t>TRANÅS</t>
        </is>
      </c>
      <c r="I28" t="n">
        <v>4.7</v>
      </c>
      <c r="J28" t="n">
        <v>0</v>
      </c>
      <c r="K28" t="n">
        <v>1</v>
      </c>
      <c r="L28" t="n">
        <v>0</v>
      </c>
      <c r="M28" t="n">
        <v>0</v>
      </c>
      <c r="N28" t="n">
        <v>0</v>
      </c>
      <c r="O28" t="n">
        <v>0</v>
      </c>
      <c r="P28" t="n">
        <v>0</v>
      </c>
      <c r="Q28" t="n">
        <v>0</v>
      </c>
      <c r="R28" t="n">
        <v>0</v>
      </c>
      <c r="S28" t="n">
        <v>1</v>
      </c>
      <c r="T28" t="n">
        <v>3</v>
      </c>
      <c r="U28" s="2" t="inlineStr">
        <is>
          <t>Blomkålssvamp</t>
        </is>
      </c>
      <c r="V28">
        <f>HYPERLINK("https://klasma.github.io/Logging_0687/artfynd/A 20822-2024 artfynd.xlsx", "A 20822-2024")</f>
        <v/>
      </c>
      <c r="W28">
        <f>HYPERLINK("https://klasma.github.io/Logging_0687/kartor/A 20822-2024 karta.png", "A 20822-2024")</f>
        <v/>
      </c>
      <c r="Y28">
        <f>HYPERLINK("https://klasma.github.io/Logging_0687/klagomål/A 20822-2024 FSC-klagomål.docx", "A 20822-2024")</f>
        <v/>
      </c>
      <c r="Z28">
        <f>HYPERLINK("https://klasma.github.io/Logging_0687/klagomålsmail/A 20822-2024 FSC-klagomål mail.docx", "A 20822-2024")</f>
        <v/>
      </c>
      <c r="AA28">
        <f>HYPERLINK("https://klasma.github.io/Logging_0687/tillsyn/A 20822-2024 tillsynsbegäran.docx", "A 20822-2024")</f>
        <v/>
      </c>
      <c r="AB28">
        <f>HYPERLINK("https://klasma.github.io/Logging_0687/tillsynsmail/A 20822-2024 tillsynsbegäran mail.docx", "A 20822-2024")</f>
        <v/>
      </c>
    </row>
    <row r="29" ht="15" customHeight="1">
      <c r="A29" t="inlineStr">
        <is>
          <t>A 19465-2026</t>
        </is>
      </c>
      <c r="B29" t="inlineStr">
        <is>
          <t>avverkningsanmälan</t>
        </is>
      </c>
      <c r="C29" t="inlineStr">
        <is>
          <t>Föryngringsavverkning</t>
        </is>
      </c>
      <c r="D29" s="1" t="n">
        <v>46129</v>
      </c>
      <c r="E29" s="1" t="n">
        <v>46216</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s="2" t="inlineStr">
        <is>
          <t>Ryl</t>
        </is>
      </c>
      <c r="V29">
        <f>HYPERLINK("https://klasma.github.io/Logging_0687/artfynd/A 19465-2026 artfynd.xlsx", "A 19465-2026")</f>
        <v/>
      </c>
      <c r="W29">
        <f>HYPERLINK("https://klasma.github.io/Logging_0687/kartor/A 19465-2026 karta.png", "A 19465-2026")</f>
        <v/>
      </c>
      <c r="Y29">
        <f>HYPERLINK("https://klasma.github.io/Logging_0687/klagomål/A 19465-2026 FSC-klagomål.docx", "A 19465-2026")</f>
        <v/>
      </c>
      <c r="Z29">
        <f>HYPERLINK("https://klasma.github.io/Logging_0687/klagomålsmail/A 19465-2026 FSC-klagomål mail.docx", "A 19465-2026")</f>
        <v/>
      </c>
      <c r="AA29">
        <f>HYPERLINK("https://klasma.github.io/Logging_0687/tillsyn/A 19465-2026 tillsynsbegäran.docx", "A 19465-2026")</f>
        <v/>
      </c>
      <c r="AB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46216</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s="2" t="inlineStr">
        <is>
          <t>Ask</t>
        </is>
      </c>
      <c r="V30">
        <f>HYPERLINK("https://klasma.github.io/Logging_0687/artfynd/A 19695-2025 artfynd.xlsx", "A 19695-2025")</f>
        <v/>
      </c>
      <c r="W30">
        <f>HYPERLINK("https://klasma.github.io/Logging_0687/kartor/A 19695-2025 karta.png", "A 19695-2025")</f>
        <v/>
      </c>
      <c r="Y30">
        <f>HYPERLINK("https://klasma.github.io/Logging_0687/klagomål/A 19695-2025 FSC-klagomål.docx", "A 19695-2025")</f>
        <v/>
      </c>
      <c r="Z30">
        <f>HYPERLINK("https://klasma.github.io/Logging_0687/klagomålsmail/A 19695-2025 FSC-klagomål mail.docx", "A 19695-2025")</f>
        <v/>
      </c>
      <c r="AA30">
        <f>HYPERLINK("https://klasma.github.io/Logging_0687/tillsyn/A 19695-2025 tillsynsbegäran.docx", "A 19695-2025")</f>
        <v/>
      </c>
      <c r="AB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46216</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s="2" t="inlineStr">
        <is>
          <t>Ryl</t>
        </is>
      </c>
      <c r="V31">
        <f>HYPERLINK("https://klasma.github.io/Logging_0687/artfynd/A 1720-2024 artfynd.xlsx", "A 1720-2024")</f>
        <v/>
      </c>
      <c r="W31">
        <f>HYPERLINK("https://klasma.github.io/Logging_0687/kartor/A 1720-2024 karta.png", "A 1720-2024")</f>
        <v/>
      </c>
      <c r="Y31">
        <f>HYPERLINK("https://klasma.github.io/Logging_0687/klagomål/A 1720-2024 FSC-klagomål.docx", "A 1720-2024")</f>
        <v/>
      </c>
      <c r="Z31">
        <f>HYPERLINK("https://klasma.github.io/Logging_0687/klagomålsmail/A 1720-2024 FSC-klagomål mail.docx", "A 1720-2024")</f>
        <v/>
      </c>
      <c r="AA31">
        <f>HYPERLINK("https://klasma.github.io/Logging_0687/tillsyn/A 1720-2024 tillsynsbegäran.docx", "A 1720-2024")</f>
        <v/>
      </c>
      <c r="AB31">
        <f>HYPERLINK("https://klasma.github.io/Logging_0687/tillsynsmail/A 1720-2024 tillsynsbegäran mail.docx", "A 1720-2024")</f>
        <v/>
      </c>
    </row>
    <row r="32" ht="15" customHeight="1">
      <c r="A32" t="inlineStr">
        <is>
          <t>A 28575-2026</t>
        </is>
      </c>
      <c r="B32" t="inlineStr">
        <is>
          <t>avverkningsanmälan</t>
        </is>
      </c>
      <c r="C32" t="inlineStr">
        <is>
          <t>Föryngringsavverkning</t>
        </is>
      </c>
      <c r="D32" s="1" t="n">
        <v>46197</v>
      </c>
      <c r="E32" s="1" t="n">
        <v>46216</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s="2" t="inlineStr">
        <is>
          <t>Storgröe</t>
        </is>
      </c>
      <c r="V32">
        <f>HYPERLINK("https://klasma.github.io/Logging_0687/artfynd/A 28575-2026 artfynd.xlsx", "A 28575-2026")</f>
        <v/>
      </c>
      <c r="W32">
        <f>HYPERLINK("https://klasma.github.io/Logging_0687/kartor/A 28575-2026 karta.png", "A 28575-2026")</f>
        <v/>
      </c>
      <c r="Y32">
        <f>HYPERLINK("https://klasma.github.io/Logging_0687/klagomål/A 28575-2026 FSC-klagomål.docx", "A 28575-2026")</f>
        <v/>
      </c>
      <c r="Z32">
        <f>HYPERLINK("https://klasma.github.io/Logging_0687/klagomålsmail/A 28575-2026 FSC-klagomål mail.docx", "A 28575-2026")</f>
        <v/>
      </c>
      <c r="AA32">
        <f>HYPERLINK("https://klasma.github.io/Logging_0687/tillsyn/A 28575-2026 tillsynsbegäran.docx", "A 28575-2026")</f>
        <v/>
      </c>
      <c r="AB32">
        <f>HYPERLINK("https://klasma.github.io/Logging_0687/tillsynsmail/A 28575-2026 tillsynsbegäran mail.docx", "A 28575-2026")</f>
        <v/>
      </c>
    </row>
    <row r="33" ht="15" customHeight="1">
      <c r="A33" t="inlineStr">
        <is>
          <t>A 26618-2026</t>
        </is>
      </c>
      <c r="B33" t="inlineStr">
        <is>
          <t>avverkningsanmälan</t>
        </is>
      </c>
      <c r="C33" t="inlineStr">
        <is>
          <t>Avverkning för annat ändamål</t>
        </is>
      </c>
      <c r="D33" s="1" t="n">
        <v>46184</v>
      </c>
      <c r="E33" s="1" t="n">
        <v>46216</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s="2" t="inlineStr">
        <is>
          <t>Ask</t>
        </is>
      </c>
      <c r="V33">
        <f>HYPERLINK("https://klasma.github.io/Logging_0687/artfynd/A 26618-2026 artfynd.xlsx", "A 26618-2026")</f>
        <v/>
      </c>
      <c r="W33">
        <f>HYPERLINK("https://klasma.github.io/Logging_0687/kartor/A 26618-2026 karta.png", "A 26618-2026")</f>
        <v/>
      </c>
      <c r="Y33">
        <f>HYPERLINK("https://klasma.github.io/Logging_0687/klagomål/A 26618-2026 FSC-klagomål.docx", "A 26618-2026")</f>
        <v/>
      </c>
      <c r="Z33">
        <f>HYPERLINK("https://klasma.github.io/Logging_0687/klagomålsmail/A 26618-2026 FSC-klagomål mail.docx", "A 26618-2026")</f>
        <v/>
      </c>
      <c r="AA33">
        <f>HYPERLINK("https://klasma.github.io/Logging_0687/tillsyn/A 26618-2026 tillsynsbegäran.docx", "A 26618-2026")</f>
        <v/>
      </c>
      <c r="AB33">
        <f>HYPERLINK("https://klasma.github.io/Logging_0687/tillsynsmail/A 26618-2026 tillsynsbegäran mail.docx", "A 26618-2026")</f>
        <v/>
      </c>
    </row>
    <row r="34" ht="15" customHeight="1">
      <c r="A34" t="inlineStr">
        <is>
          <t>A 988-2026</t>
        </is>
      </c>
      <c r="B34" t="inlineStr">
        <is>
          <t>avverkningsanmälan</t>
        </is>
      </c>
      <c r="C34" t="inlineStr">
        <is>
          <t>Föryngringsavverkning</t>
        </is>
      </c>
      <c r="D34" s="1" t="n">
        <v>46029</v>
      </c>
      <c r="E34" s="1" t="n">
        <v>46216</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s="2" t="inlineStr">
        <is>
          <t>Ask</t>
        </is>
      </c>
      <c r="V34">
        <f>HYPERLINK("https://klasma.github.io/Logging_0687/artfynd/A 988-2026 artfynd.xlsx", "A 988-2026")</f>
        <v/>
      </c>
      <c r="W34">
        <f>HYPERLINK("https://klasma.github.io/Logging_0687/kartor/A 988-2026 karta.png", "A 988-2026")</f>
        <v/>
      </c>
      <c r="Y34">
        <f>HYPERLINK("https://klasma.github.io/Logging_0687/klagomål/A 988-2026 FSC-klagomål.docx", "A 988-2026")</f>
        <v/>
      </c>
      <c r="Z34">
        <f>HYPERLINK("https://klasma.github.io/Logging_0687/klagomålsmail/A 988-2026 FSC-klagomål mail.docx", "A 988-2026")</f>
        <v/>
      </c>
      <c r="AA34">
        <f>HYPERLINK("https://klasma.github.io/Logging_0687/tillsyn/A 988-2026 tillsynsbegäran.docx", "A 988-2026")</f>
        <v/>
      </c>
      <c r="AB34">
        <f>HYPERLINK("https://klasma.github.io/Logging_0687/tillsynsmail/A 988-2026 tillsynsbegäran mail.docx", "A 988-2026")</f>
        <v/>
      </c>
    </row>
    <row r="35" ht="15" customHeight="1">
      <c r="A35" t="inlineStr">
        <is>
          <t>A 60263-2023</t>
        </is>
      </c>
      <c r="B35" t="inlineStr">
        <is>
          <t>avverkningsanmälan</t>
        </is>
      </c>
      <c r="C35" t="inlineStr">
        <is>
          <t>Föryngringsavverkning</t>
        </is>
      </c>
      <c r="D35" s="1" t="n">
        <v>45258</v>
      </c>
      <c r="E35" s="1" t="n">
        <v>46216</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s="2" t="inlineStr">
        <is>
          <t>Grönvit nattviol</t>
        </is>
      </c>
      <c r="V35">
        <f>HYPERLINK("https://klasma.github.io/Logging_0687/artfynd/A 60263-2023 artfynd.xlsx", "A 60263-2023")</f>
        <v/>
      </c>
      <c r="W35">
        <f>HYPERLINK("https://klasma.github.io/Logging_0687/kartor/A 60263-2023 karta.png", "A 60263-2023")</f>
        <v/>
      </c>
      <c r="Y35">
        <f>HYPERLINK("https://klasma.github.io/Logging_0687/klagomål/A 60263-2023 FSC-klagomål.docx", "A 60263-2023")</f>
        <v/>
      </c>
      <c r="Z35">
        <f>HYPERLINK("https://klasma.github.io/Logging_0687/klagomålsmail/A 60263-2023 FSC-klagomål mail.docx", "A 60263-2023")</f>
        <v/>
      </c>
      <c r="AA35">
        <f>HYPERLINK("https://klasma.github.io/Logging_0687/tillsyn/A 60263-2023 tillsynsbegäran.docx", "A 60263-2023")</f>
        <v/>
      </c>
      <c r="AB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46216</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s="2" t="inlineStr">
        <is>
          <t>Ask</t>
        </is>
      </c>
      <c r="V36">
        <f>HYPERLINK("https://klasma.github.io/Logging_0687/artfynd/A 29382-2022 artfynd.xlsx", "A 29382-2022")</f>
        <v/>
      </c>
      <c r="W36">
        <f>HYPERLINK("https://klasma.github.io/Logging_0687/kartor/A 29382-2022 karta.png", "A 29382-2022")</f>
        <v/>
      </c>
      <c r="Y36">
        <f>HYPERLINK("https://klasma.github.io/Logging_0687/klagomål/A 29382-2022 FSC-klagomål.docx", "A 29382-2022")</f>
        <v/>
      </c>
      <c r="Z36">
        <f>HYPERLINK("https://klasma.github.io/Logging_0687/klagomålsmail/A 29382-2022 FSC-klagomål mail.docx", "A 29382-2022")</f>
        <v/>
      </c>
      <c r="AA36">
        <f>HYPERLINK("https://klasma.github.io/Logging_0687/tillsyn/A 29382-2022 tillsynsbegäran.docx", "A 29382-2022")</f>
        <v/>
      </c>
      <c r="AB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46216</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s="2" t="inlineStr">
        <is>
          <t>Ask</t>
        </is>
      </c>
      <c r="V37">
        <f>HYPERLINK("https://klasma.github.io/Logging_0687/artfynd/A 37703-2023 artfynd.xlsx", "A 37703-2023")</f>
        <v/>
      </c>
      <c r="W37">
        <f>HYPERLINK("https://klasma.github.io/Logging_0687/kartor/A 37703-2023 karta.png", "A 37703-2023")</f>
        <v/>
      </c>
      <c r="Y37">
        <f>HYPERLINK("https://klasma.github.io/Logging_0687/klagomål/A 37703-2023 FSC-klagomål.docx", "A 37703-2023")</f>
        <v/>
      </c>
      <c r="Z37">
        <f>HYPERLINK("https://klasma.github.io/Logging_0687/klagomålsmail/A 37703-2023 FSC-klagomål mail.docx", "A 37703-2023")</f>
        <v/>
      </c>
      <c r="AA37">
        <f>HYPERLINK("https://klasma.github.io/Logging_0687/tillsyn/A 37703-2023 tillsynsbegäran.docx", "A 37703-2023")</f>
        <v/>
      </c>
      <c r="AB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46216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46216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46216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46216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46216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46216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46216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46216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46216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46216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46216</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46216</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46216</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46216</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46216</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46216</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46216</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46216</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46216</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46216</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46216</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46216</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46216</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46216</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46216</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46216</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46216</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46216</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45575-2022</t>
        </is>
      </c>
      <c r="B66" t="inlineStr">
        <is>
          <t>avverkningsanmälan</t>
        </is>
      </c>
      <c r="C66" t="inlineStr">
        <is>
          <t>Avverkning för annat ändamål</t>
        </is>
      </c>
      <c r="D66" s="1" t="n">
        <v>44845</v>
      </c>
      <c r="E66" s="1" t="n">
        <v>46216</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s="2" t="inlineStr"/>
    </row>
    <row r="67" ht="15" customHeight="1">
      <c r="A67" t="inlineStr">
        <is>
          <t>A 9750-2025</t>
        </is>
      </c>
      <c r="B67" t="inlineStr">
        <is>
          <t>avverkningsanmälan</t>
        </is>
      </c>
      <c r="C67" t="inlineStr">
        <is>
          <t>Föryngringsavverkning</t>
        </is>
      </c>
      <c r="D67" s="1" t="n">
        <v>45716</v>
      </c>
      <c r="E67" s="1" t="n">
        <v>46216</v>
      </c>
      <c r="F67" t="inlineStr">
        <is>
          <t>JÖNKÖPINGS LÄN</t>
        </is>
      </c>
      <c r="G67" t="inlineStr">
        <is>
          <t>TRANÅS</t>
        </is>
      </c>
      <c r="I67" t="n">
        <v>5.2</v>
      </c>
      <c r="J67" t="n">
        <v>0</v>
      </c>
      <c r="K67" t="n">
        <v>0</v>
      </c>
      <c r="L67" t="n">
        <v>0</v>
      </c>
      <c r="M67" t="n">
        <v>0</v>
      </c>
      <c r="N67" t="n">
        <v>0</v>
      </c>
      <c r="O67" t="n">
        <v>0</v>
      </c>
      <c r="P67" t="n">
        <v>0</v>
      </c>
      <c r="Q67" t="n">
        <v>0</v>
      </c>
      <c r="R67" t="n">
        <v>0</v>
      </c>
      <c r="S67" t="n">
        <v>0</v>
      </c>
      <c r="T67" t="n">
        <v>0</v>
      </c>
      <c r="U67" s="2" t="inlineStr"/>
    </row>
    <row r="68" ht="15" customHeight="1">
      <c r="A68" t="inlineStr">
        <is>
          <t>A 23031-2022</t>
        </is>
      </c>
      <c r="B68" t="inlineStr">
        <is>
          <t>avverkningsanmälan</t>
        </is>
      </c>
      <c r="C68" t="inlineStr">
        <is>
          <t>Avverkning för annat ändamål</t>
        </is>
      </c>
      <c r="D68" s="1" t="n">
        <v>44719</v>
      </c>
      <c r="E68" s="1" t="n">
        <v>46216</v>
      </c>
      <c r="F68" t="inlineStr">
        <is>
          <t>JÖNKÖPINGS LÄN</t>
        </is>
      </c>
      <c r="G68" t="inlineStr">
        <is>
          <t>TRANÅS</t>
        </is>
      </c>
      <c r="H68" t="inlineStr">
        <is>
          <t>Kommuner</t>
        </is>
      </c>
      <c r="I68" t="n">
        <v>3.1</v>
      </c>
      <c r="J68" t="n">
        <v>0</v>
      </c>
      <c r="K68" t="n">
        <v>0</v>
      </c>
      <c r="L68" t="n">
        <v>0</v>
      </c>
      <c r="M68" t="n">
        <v>0</v>
      </c>
      <c r="N68" t="n">
        <v>0</v>
      </c>
      <c r="O68" t="n">
        <v>0</v>
      </c>
      <c r="P68" t="n">
        <v>0</v>
      </c>
      <c r="Q68" t="n">
        <v>0</v>
      </c>
      <c r="R68" t="n">
        <v>0</v>
      </c>
      <c r="S68" t="n">
        <v>0</v>
      </c>
      <c r="T68" t="n">
        <v>0</v>
      </c>
      <c r="U68" s="2" t="inlineStr"/>
    </row>
    <row r="69" ht="15" customHeight="1">
      <c r="A69" t="inlineStr">
        <is>
          <t>A 73785-2021</t>
        </is>
      </c>
      <c r="B69" t="inlineStr">
        <is>
          <t>avverkningsanmälan</t>
        </is>
      </c>
      <c r="C69" t="inlineStr">
        <is>
          <t>Föryngringsavverkning</t>
        </is>
      </c>
      <c r="D69" s="1" t="n">
        <v>44552</v>
      </c>
      <c r="E69" s="1" t="n">
        <v>46216</v>
      </c>
      <c r="F69" t="inlineStr">
        <is>
          <t>JÖNKÖPINGS LÄN</t>
        </is>
      </c>
      <c r="G69" t="inlineStr">
        <is>
          <t>TRANÅS</t>
        </is>
      </c>
      <c r="H69" t="inlineStr">
        <is>
          <t>Allmännings- och besparingsskogar</t>
        </is>
      </c>
      <c r="I69" t="n">
        <v>14.9</v>
      </c>
      <c r="J69" t="n">
        <v>0</v>
      </c>
      <c r="K69" t="n">
        <v>0</v>
      </c>
      <c r="L69" t="n">
        <v>0</v>
      </c>
      <c r="M69" t="n">
        <v>0</v>
      </c>
      <c r="N69" t="n">
        <v>0</v>
      </c>
      <c r="O69" t="n">
        <v>0</v>
      </c>
      <c r="P69" t="n">
        <v>0</v>
      </c>
      <c r="Q69" t="n">
        <v>0</v>
      </c>
      <c r="R69" t="n">
        <v>0</v>
      </c>
      <c r="S69" t="n">
        <v>0</v>
      </c>
      <c r="T69" t="n">
        <v>0</v>
      </c>
      <c r="U69" s="2" t="inlineStr"/>
    </row>
    <row r="70" ht="15" customHeight="1">
      <c r="A70" t="inlineStr">
        <is>
          <t>A 24708-2023</t>
        </is>
      </c>
      <c r="B70" t="inlineStr">
        <is>
          <t>avverkningsanmälan</t>
        </is>
      </c>
      <c r="C70" t="inlineStr">
        <is>
          <t>Föryngringsavverkning</t>
        </is>
      </c>
      <c r="D70" s="1" t="n">
        <v>45084</v>
      </c>
      <c r="E70" s="1" t="n">
        <v>46216</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s="2" t="inlineStr"/>
    </row>
    <row r="71" ht="15" customHeight="1">
      <c r="A71" t="inlineStr">
        <is>
          <t>A 20549-2023</t>
        </is>
      </c>
      <c r="B71" t="inlineStr">
        <is>
          <t>avverkningsanmälan</t>
        </is>
      </c>
      <c r="C71" t="inlineStr">
        <is>
          <t>Föryngringsavverkning</t>
        </is>
      </c>
      <c r="D71" s="1" t="n">
        <v>45057</v>
      </c>
      <c r="E71" s="1" t="n">
        <v>46216</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s="2" t="inlineStr"/>
    </row>
    <row r="72" ht="15" customHeight="1">
      <c r="A72" t="inlineStr">
        <is>
          <t>A 6043-2023</t>
        </is>
      </c>
      <c r="B72" t="inlineStr">
        <is>
          <t>avverkningsanmälan</t>
        </is>
      </c>
      <c r="C72" t="inlineStr">
        <is>
          <t>Avverkning för annat ändamål</t>
        </is>
      </c>
      <c r="D72" s="1" t="n">
        <v>44964</v>
      </c>
      <c r="E72" s="1" t="n">
        <v>46216</v>
      </c>
      <c r="F72" t="inlineStr">
        <is>
          <t>JÖNKÖPINGS LÄN</t>
        </is>
      </c>
      <c r="G72" t="inlineStr">
        <is>
          <t>TRANÅS</t>
        </is>
      </c>
      <c r="I72" t="n">
        <v>1.2</v>
      </c>
      <c r="J72" t="n">
        <v>0</v>
      </c>
      <c r="K72" t="n">
        <v>0</v>
      </c>
      <c r="L72" t="n">
        <v>0</v>
      </c>
      <c r="M72" t="n">
        <v>0</v>
      </c>
      <c r="N72" t="n">
        <v>0</v>
      </c>
      <c r="O72" t="n">
        <v>0</v>
      </c>
      <c r="P72" t="n">
        <v>0</v>
      </c>
      <c r="Q72" t="n">
        <v>0</v>
      </c>
      <c r="R72" t="n">
        <v>0</v>
      </c>
      <c r="S72" t="n">
        <v>0</v>
      </c>
      <c r="T72" t="n">
        <v>0</v>
      </c>
      <c r="U72" s="2" t="inlineStr"/>
    </row>
    <row r="73" ht="15" customHeight="1">
      <c r="A73" t="inlineStr">
        <is>
          <t>A 60359-2023</t>
        </is>
      </c>
      <c r="B73" t="inlineStr">
        <is>
          <t>avverkningsanmälan</t>
        </is>
      </c>
      <c r="C73" t="inlineStr">
        <is>
          <t>Föryngringsavverkning</t>
        </is>
      </c>
      <c r="D73" s="1" t="n">
        <v>45259</v>
      </c>
      <c r="E73" s="1" t="n">
        <v>46216</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s="2" t="inlineStr"/>
    </row>
    <row r="74" ht="15" customHeight="1">
      <c r="A74" t="inlineStr">
        <is>
          <t>A 18084-2024</t>
        </is>
      </c>
      <c r="B74" t="inlineStr">
        <is>
          <t>avverkningsanmälan</t>
        </is>
      </c>
      <c r="C74" t="inlineStr">
        <is>
          <t>Föryngringsavverkning</t>
        </is>
      </c>
      <c r="D74" s="1" t="n">
        <v>45420</v>
      </c>
      <c r="E74" s="1" t="n">
        <v>46216</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s="2" t="inlineStr"/>
    </row>
    <row r="75" ht="15" customHeight="1">
      <c r="A75" t="inlineStr">
        <is>
          <t>A 30152-2023</t>
        </is>
      </c>
      <c r="B75" t="inlineStr">
        <is>
          <t>avverkningsanmälan</t>
        </is>
      </c>
      <c r="C75" t="inlineStr">
        <is>
          <t>Föryngringsavverkning</t>
        </is>
      </c>
      <c r="D75" s="1" t="n">
        <v>45110</v>
      </c>
      <c r="E75" s="1" t="n">
        <v>46216</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s="2" t="inlineStr"/>
    </row>
    <row r="76" ht="15" customHeight="1">
      <c r="A76" t="inlineStr">
        <is>
          <t>A 22726-2022</t>
        </is>
      </c>
      <c r="B76" t="inlineStr">
        <is>
          <t>avverkningsanmälan</t>
        </is>
      </c>
      <c r="C76" t="inlineStr">
        <is>
          <t>Föryngringsavverkning</t>
        </is>
      </c>
      <c r="D76" s="1" t="n">
        <v>44714</v>
      </c>
      <c r="E76" s="1" t="n">
        <v>46216</v>
      </c>
      <c r="F76" t="inlineStr">
        <is>
          <t>JÖNKÖPINGS LÄN</t>
        </is>
      </c>
      <c r="G76" t="inlineStr">
        <is>
          <t>TRANÅS</t>
        </is>
      </c>
      <c r="I76" t="n">
        <v>2.2</v>
      </c>
      <c r="J76" t="n">
        <v>0</v>
      </c>
      <c r="K76" t="n">
        <v>0</v>
      </c>
      <c r="L76" t="n">
        <v>0</v>
      </c>
      <c r="M76" t="n">
        <v>0</v>
      </c>
      <c r="N76" t="n">
        <v>0</v>
      </c>
      <c r="O76" t="n">
        <v>0</v>
      </c>
      <c r="P76" t="n">
        <v>0</v>
      </c>
      <c r="Q76" t="n">
        <v>0</v>
      </c>
      <c r="R76" t="n">
        <v>0</v>
      </c>
      <c r="S76" t="n">
        <v>0</v>
      </c>
      <c r="T76" t="n">
        <v>0</v>
      </c>
      <c r="U76" s="2" t="inlineStr"/>
    </row>
    <row r="77" ht="15" customHeight="1">
      <c r="A77" t="inlineStr">
        <is>
          <t>A 19332-2025</t>
        </is>
      </c>
      <c r="B77" t="inlineStr">
        <is>
          <t>avverkningsanmälan</t>
        </is>
      </c>
      <c r="C77" t="inlineStr">
        <is>
          <t>Föryngringsavverkning</t>
        </is>
      </c>
      <c r="D77" s="1" t="n">
        <v>45769</v>
      </c>
      <c r="E77" s="1" t="n">
        <v>46216</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s="2" t="inlineStr"/>
    </row>
    <row r="78" ht="15" customHeight="1">
      <c r="A78" t="inlineStr">
        <is>
          <t>A 47902-2022</t>
        </is>
      </c>
      <c r="B78" t="inlineStr">
        <is>
          <t>avverkningsanmälan</t>
        </is>
      </c>
      <c r="C78" t="inlineStr">
        <is>
          <t>Föryngringsavverkning</t>
        </is>
      </c>
      <c r="D78" s="1" t="n">
        <v>44855</v>
      </c>
      <c r="E78" s="1" t="n">
        <v>46216</v>
      </c>
      <c r="F78" t="inlineStr">
        <is>
          <t>JÖNKÖPINGS LÄN</t>
        </is>
      </c>
      <c r="G78" t="inlineStr">
        <is>
          <t>TRANÅS</t>
        </is>
      </c>
      <c r="I78" t="n">
        <v>0.7</v>
      </c>
      <c r="J78" t="n">
        <v>0</v>
      </c>
      <c r="K78" t="n">
        <v>0</v>
      </c>
      <c r="L78" t="n">
        <v>0</v>
      </c>
      <c r="M78" t="n">
        <v>0</v>
      </c>
      <c r="N78" t="n">
        <v>0</v>
      </c>
      <c r="O78" t="n">
        <v>0</v>
      </c>
      <c r="P78" t="n">
        <v>0</v>
      </c>
      <c r="Q78" t="n">
        <v>0</v>
      </c>
      <c r="R78" t="n">
        <v>0</v>
      </c>
      <c r="S78" t="n">
        <v>0</v>
      </c>
      <c r="T78" t="n">
        <v>0</v>
      </c>
      <c r="U78" s="2" t="inlineStr"/>
    </row>
    <row r="79" ht="15" customHeight="1">
      <c r="A79" t="inlineStr">
        <is>
          <t>A 17149-2024</t>
        </is>
      </c>
      <c r="B79" t="inlineStr">
        <is>
          <t>avverkningsanmälan</t>
        </is>
      </c>
      <c r="C79" t="inlineStr">
        <is>
          <t>Föryngringsavverkning</t>
        </is>
      </c>
      <c r="D79" s="1" t="n">
        <v>45412</v>
      </c>
      <c r="E79" s="1" t="n">
        <v>46216</v>
      </c>
      <c r="F79" t="inlineStr">
        <is>
          <t>JÖNKÖPINGS LÄN</t>
        </is>
      </c>
      <c r="G79" t="inlineStr">
        <is>
          <t>TRANÅS</t>
        </is>
      </c>
      <c r="I79" t="n">
        <v>4</v>
      </c>
      <c r="J79" t="n">
        <v>0</v>
      </c>
      <c r="K79" t="n">
        <v>0</v>
      </c>
      <c r="L79" t="n">
        <v>0</v>
      </c>
      <c r="M79" t="n">
        <v>0</v>
      </c>
      <c r="N79" t="n">
        <v>0</v>
      </c>
      <c r="O79" t="n">
        <v>0</v>
      </c>
      <c r="P79" t="n">
        <v>0</v>
      </c>
      <c r="Q79" t="n">
        <v>0</v>
      </c>
      <c r="R79" t="n">
        <v>0</v>
      </c>
      <c r="S79" t="n">
        <v>0</v>
      </c>
      <c r="T79" t="n">
        <v>0</v>
      </c>
      <c r="U79" s="2" t="inlineStr"/>
    </row>
    <row r="80" ht="15" customHeight="1">
      <c r="A80" t="inlineStr">
        <is>
          <t>A 2375-2023</t>
        </is>
      </c>
      <c r="B80" t="inlineStr">
        <is>
          <t>avverkningsanmälan</t>
        </is>
      </c>
      <c r="C80" t="inlineStr">
        <is>
          <t>Föryngringsavverkning</t>
        </is>
      </c>
      <c r="D80" s="1" t="n">
        <v>44942</v>
      </c>
      <c r="E80" s="1" t="n">
        <v>46216</v>
      </c>
      <c r="F80" t="inlineStr">
        <is>
          <t>JÖNKÖPINGS LÄN</t>
        </is>
      </c>
      <c r="G80" t="inlineStr">
        <is>
          <t>TRANÅS</t>
        </is>
      </c>
      <c r="H80" t="inlineStr">
        <is>
          <t>Kommuner</t>
        </is>
      </c>
      <c r="I80" t="n">
        <v>2.5</v>
      </c>
      <c r="J80" t="n">
        <v>0</v>
      </c>
      <c r="K80" t="n">
        <v>0</v>
      </c>
      <c r="L80" t="n">
        <v>0</v>
      </c>
      <c r="M80" t="n">
        <v>0</v>
      </c>
      <c r="N80" t="n">
        <v>0</v>
      </c>
      <c r="O80" t="n">
        <v>0</v>
      </c>
      <c r="P80" t="n">
        <v>0</v>
      </c>
      <c r="Q80" t="n">
        <v>0</v>
      </c>
      <c r="R80" t="n">
        <v>0</v>
      </c>
      <c r="S80" t="n">
        <v>0</v>
      </c>
      <c r="T80" t="n">
        <v>0</v>
      </c>
      <c r="U80" s="2" t="inlineStr"/>
    </row>
    <row r="81" ht="15" customHeight="1">
      <c r="A81" t="inlineStr">
        <is>
          <t>A 12885-2023</t>
        </is>
      </c>
      <c r="B81" t="inlineStr">
        <is>
          <t>avverkningsanmälan</t>
        </is>
      </c>
      <c r="C81" t="inlineStr">
        <is>
          <t>Föryngringsavverkning</t>
        </is>
      </c>
      <c r="D81" s="1" t="n">
        <v>45001</v>
      </c>
      <c r="E81" s="1" t="n">
        <v>46216</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s="2" t="inlineStr"/>
    </row>
    <row r="82" ht="15" customHeight="1">
      <c r="A82" t="inlineStr">
        <is>
          <t>A 49256-2024</t>
        </is>
      </c>
      <c r="B82" t="inlineStr">
        <is>
          <t>avverkningsanmälan</t>
        </is>
      </c>
      <c r="C82" t="inlineStr">
        <is>
          <t>Föryngringsavverkning</t>
        </is>
      </c>
      <c r="D82" s="1" t="n">
        <v>45595</v>
      </c>
      <c r="E82" s="1" t="n">
        <v>46216</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s="2" t="inlineStr"/>
    </row>
    <row r="83" ht="15" customHeight="1">
      <c r="A83" t="inlineStr">
        <is>
          <t>A 53489-2023</t>
        </is>
      </c>
      <c r="B83" t="inlineStr">
        <is>
          <t>avverkningsanmälan</t>
        </is>
      </c>
      <c r="C83" t="inlineStr">
        <is>
          <t>Föryngringsavverkning</t>
        </is>
      </c>
      <c r="D83" s="1" t="n">
        <v>45230</v>
      </c>
      <c r="E83" s="1" t="n">
        <v>46216</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s="2" t="inlineStr"/>
    </row>
    <row r="84" ht="15" customHeight="1">
      <c r="A84" t="inlineStr">
        <is>
          <t>A 37146-2021</t>
        </is>
      </c>
      <c r="B84" t="inlineStr">
        <is>
          <t>avverkningsanmälan</t>
        </is>
      </c>
      <c r="C84" t="inlineStr">
        <is>
          <t>Föryngringsavverkning</t>
        </is>
      </c>
      <c r="D84" s="1" t="n">
        <v>44396</v>
      </c>
      <c r="E84" s="1" t="n">
        <v>46216</v>
      </c>
      <c r="F84" t="inlineStr">
        <is>
          <t>JÖNKÖPINGS LÄN</t>
        </is>
      </c>
      <c r="G84" t="inlineStr">
        <is>
          <t>TRANÅS</t>
        </is>
      </c>
      <c r="I84" t="n">
        <v>2.1</v>
      </c>
      <c r="J84" t="n">
        <v>0</v>
      </c>
      <c r="K84" t="n">
        <v>0</v>
      </c>
      <c r="L84" t="n">
        <v>0</v>
      </c>
      <c r="M84" t="n">
        <v>0</v>
      </c>
      <c r="N84" t="n">
        <v>0</v>
      </c>
      <c r="O84" t="n">
        <v>0</v>
      </c>
      <c r="P84" t="n">
        <v>0</v>
      </c>
      <c r="Q84" t="n">
        <v>0</v>
      </c>
      <c r="R84" t="n">
        <v>0</v>
      </c>
      <c r="S84" t="n">
        <v>0</v>
      </c>
      <c r="T84" t="n">
        <v>0</v>
      </c>
      <c r="U84" s="2" t="inlineStr"/>
    </row>
    <row r="85" ht="15" customHeight="1">
      <c r="A85" t="inlineStr">
        <is>
          <t>A 20134-2024</t>
        </is>
      </c>
      <c r="B85" t="inlineStr">
        <is>
          <t>avverkningsanmälan</t>
        </is>
      </c>
      <c r="C85" t="inlineStr">
        <is>
          <t>Föryngringsavverkning</t>
        </is>
      </c>
      <c r="D85" s="1" t="n">
        <v>45434</v>
      </c>
      <c r="E85" s="1" t="n">
        <v>46216</v>
      </c>
      <c r="F85" t="inlineStr">
        <is>
          <t>JÖNKÖPINGS LÄN</t>
        </is>
      </c>
      <c r="G85" t="inlineStr">
        <is>
          <t>TRANÅS</t>
        </is>
      </c>
      <c r="I85" t="n">
        <v>3.1</v>
      </c>
      <c r="J85" t="n">
        <v>0</v>
      </c>
      <c r="K85" t="n">
        <v>0</v>
      </c>
      <c r="L85" t="n">
        <v>0</v>
      </c>
      <c r="M85" t="n">
        <v>0</v>
      </c>
      <c r="N85" t="n">
        <v>0</v>
      </c>
      <c r="O85" t="n">
        <v>0</v>
      </c>
      <c r="P85" t="n">
        <v>0</v>
      </c>
      <c r="Q85" t="n">
        <v>0</v>
      </c>
      <c r="R85" t="n">
        <v>0</v>
      </c>
      <c r="S85" t="n">
        <v>0</v>
      </c>
      <c r="T85" t="n">
        <v>0</v>
      </c>
      <c r="U85" s="2" t="inlineStr"/>
    </row>
    <row r="86" ht="15" customHeight="1">
      <c r="A86" t="inlineStr">
        <is>
          <t>A 12214-2022</t>
        </is>
      </c>
      <c r="B86" t="inlineStr">
        <is>
          <t>avverkningsanmälan</t>
        </is>
      </c>
      <c r="C86" t="inlineStr">
        <is>
          <t>Avverkning för annat ändamål</t>
        </is>
      </c>
      <c r="D86" s="1" t="n">
        <v>44637</v>
      </c>
      <c r="E86" s="1" t="n">
        <v>46216</v>
      </c>
      <c r="F86" t="inlineStr">
        <is>
          <t>JÖNKÖPINGS LÄN</t>
        </is>
      </c>
      <c r="G86" t="inlineStr">
        <is>
          <t>TRANÅS</t>
        </is>
      </c>
      <c r="H86" t="inlineStr">
        <is>
          <t>Allmännings- och besparingsskogar</t>
        </is>
      </c>
      <c r="I86" t="n">
        <v>1.2</v>
      </c>
      <c r="J86" t="n">
        <v>0</v>
      </c>
      <c r="K86" t="n">
        <v>0</v>
      </c>
      <c r="L86" t="n">
        <v>0</v>
      </c>
      <c r="M86" t="n">
        <v>0</v>
      </c>
      <c r="N86" t="n">
        <v>0</v>
      </c>
      <c r="O86" t="n">
        <v>0</v>
      </c>
      <c r="P86" t="n">
        <v>0</v>
      </c>
      <c r="Q86" t="n">
        <v>0</v>
      </c>
      <c r="R86" t="n">
        <v>0</v>
      </c>
      <c r="S86" t="n">
        <v>0</v>
      </c>
      <c r="T86" t="n">
        <v>0</v>
      </c>
      <c r="U86" s="2" t="inlineStr"/>
    </row>
    <row r="87" ht="15" customHeight="1">
      <c r="A87" t="inlineStr">
        <is>
          <t>A 37912-2024</t>
        </is>
      </c>
      <c r="B87" t="inlineStr">
        <is>
          <t>avverkningsanmälan</t>
        </is>
      </c>
      <c r="C87" t="inlineStr">
        <is>
          <t>Avverkning för annat ändamål</t>
        </is>
      </c>
      <c r="D87" s="1" t="n">
        <v>45544</v>
      </c>
      <c r="E87" s="1" t="n">
        <v>46216</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s="2" t="inlineStr"/>
    </row>
    <row r="88" ht="15" customHeight="1">
      <c r="A88" t="inlineStr">
        <is>
          <t>A 26449-2022</t>
        </is>
      </c>
      <c r="B88" t="inlineStr">
        <is>
          <t>avverkningsanmälan</t>
        </is>
      </c>
      <c r="C88" t="inlineStr">
        <is>
          <t>Föryngringsavverkning</t>
        </is>
      </c>
      <c r="D88" s="1" t="n">
        <v>44738</v>
      </c>
      <c r="E88" s="1" t="n">
        <v>46216</v>
      </c>
      <c r="F88" t="inlineStr">
        <is>
          <t>JÖNKÖPINGS LÄN</t>
        </is>
      </c>
      <c r="G88" t="inlineStr">
        <is>
          <t>TRANÅS</t>
        </is>
      </c>
      <c r="I88" t="n">
        <v>2.9</v>
      </c>
      <c r="J88" t="n">
        <v>0</v>
      </c>
      <c r="K88" t="n">
        <v>0</v>
      </c>
      <c r="L88" t="n">
        <v>0</v>
      </c>
      <c r="M88" t="n">
        <v>0</v>
      </c>
      <c r="N88" t="n">
        <v>0</v>
      </c>
      <c r="O88" t="n">
        <v>0</v>
      </c>
      <c r="P88" t="n">
        <v>0</v>
      </c>
      <c r="Q88" t="n">
        <v>0</v>
      </c>
      <c r="R88" t="n">
        <v>0</v>
      </c>
      <c r="S88" t="n">
        <v>0</v>
      </c>
      <c r="T88" t="n">
        <v>0</v>
      </c>
      <c r="U88" s="2" t="inlineStr"/>
    </row>
    <row r="89" ht="15" customHeight="1">
      <c r="A89" t="inlineStr">
        <is>
          <t>A 57957-2025</t>
        </is>
      </c>
      <c r="B89" t="inlineStr">
        <is>
          <t>avverkningsanmälan</t>
        </is>
      </c>
      <c r="C89" t="inlineStr">
        <is>
          <t>Avverkning för annat ändamål</t>
        </is>
      </c>
      <c r="D89" s="1" t="n">
        <v>45982</v>
      </c>
      <c r="E89" s="1" t="n">
        <v>46216</v>
      </c>
      <c r="F89" t="inlineStr">
        <is>
          <t>JÖNKÖPINGS LÄN</t>
        </is>
      </c>
      <c r="G89" t="inlineStr">
        <is>
          <t>TRANÅS</t>
        </is>
      </c>
      <c r="I89" t="n">
        <v>7</v>
      </c>
      <c r="J89" t="n">
        <v>0</v>
      </c>
      <c r="K89" t="n">
        <v>0</v>
      </c>
      <c r="L89" t="n">
        <v>0</v>
      </c>
      <c r="M89" t="n">
        <v>0</v>
      </c>
      <c r="N89" t="n">
        <v>0</v>
      </c>
      <c r="O89" t="n">
        <v>0</v>
      </c>
      <c r="P89" t="n">
        <v>0</v>
      </c>
      <c r="Q89" t="n">
        <v>0</v>
      </c>
      <c r="R89" t="n">
        <v>0</v>
      </c>
      <c r="S89" t="n">
        <v>0</v>
      </c>
      <c r="T89" t="n">
        <v>0</v>
      </c>
      <c r="U89" s="2" t="inlineStr"/>
    </row>
    <row r="90" ht="15" customHeight="1">
      <c r="A90" t="inlineStr">
        <is>
          <t>A 59640-2025</t>
        </is>
      </c>
      <c r="B90" t="inlineStr">
        <is>
          <t>avverkningsanmälan</t>
        </is>
      </c>
      <c r="C90" t="inlineStr">
        <is>
          <t>Avverkning för annat ändamål</t>
        </is>
      </c>
      <c r="D90" s="1" t="n">
        <v>45992</v>
      </c>
      <c r="E90" s="1" t="n">
        <v>46216</v>
      </c>
      <c r="F90" t="inlineStr">
        <is>
          <t>JÖNKÖPINGS LÄN</t>
        </is>
      </c>
      <c r="G90" t="inlineStr">
        <is>
          <t>TRANÅS</t>
        </is>
      </c>
      <c r="I90" t="n">
        <v>4</v>
      </c>
      <c r="J90" t="n">
        <v>0</v>
      </c>
      <c r="K90" t="n">
        <v>0</v>
      </c>
      <c r="L90" t="n">
        <v>0</v>
      </c>
      <c r="M90" t="n">
        <v>0</v>
      </c>
      <c r="N90" t="n">
        <v>0</v>
      </c>
      <c r="O90" t="n">
        <v>0</v>
      </c>
      <c r="P90" t="n">
        <v>0</v>
      </c>
      <c r="Q90" t="n">
        <v>0</v>
      </c>
      <c r="R90" t="n">
        <v>0</v>
      </c>
      <c r="S90" t="n">
        <v>0</v>
      </c>
      <c r="T90" t="n">
        <v>0</v>
      </c>
      <c r="U90" s="2" t="inlineStr"/>
    </row>
    <row r="91" ht="15" customHeight="1">
      <c r="A91" t="inlineStr">
        <is>
          <t>A 17963-2024</t>
        </is>
      </c>
      <c r="B91" t="inlineStr">
        <is>
          <t>avverkningsanmälan</t>
        </is>
      </c>
      <c r="C91" t="inlineStr">
        <is>
          <t>Avverkning för annat ändamål</t>
        </is>
      </c>
      <c r="D91" s="1" t="n">
        <v>45419</v>
      </c>
      <c r="E91" s="1" t="n">
        <v>46216</v>
      </c>
      <c r="F91" t="inlineStr">
        <is>
          <t>JÖNKÖPINGS LÄN</t>
        </is>
      </c>
      <c r="G91" t="inlineStr">
        <is>
          <t>TRANÅS</t>
        </is>
      </c>
      <c r="I91" t="n">
        <v>2.6</v>
      </c>
      <c r="J91" t="n">
        <v>0</v>
      </c>
      <c r="K91" t="n">
        <v>0</v>
      </c>
      <c r="L91" t="n">
        <v>0</v>
      </c>
      <c r="M91" t="n">
        <v>0</v>
      </c>
      <c r="N91" t="n">
        <v>0</v>
      </c>
      <c r="O91" t="n">
        <v>0</v>
      </c>
      <c r="P91" t="n">
        <v>0</v>
      </c>
      <c r="Q91" t="n">
        <v>0</v>
      </c>
      <c r="R91" t="n">
        <v>0</v>
      </c>
      <c r="S91" t="n">
        <v>0</v>
      </c>
      <c r="T91" t="n">
        <v>0</v>
      </c>
      <c r="U91" s="2" t="inlineStr"/>
    </row>
    <row r="92" ht="15" customHeight="1">
      <c r="A92" t="inlineStr">
        <is>
          <t>A 11630-2023</t>
        </is>
      </c>
      <c r="B92" t="inlineStr">
        <is>
          <t>avverkningsanmälan</t>
        </is>
      </c>
      <c r="C92" t="inlineStr">
        <is>
          <t>Föryngringsavverkning</t>
        </is>
      </c>
      <c r="D92" s="1" t="n">
        <v>44992</v>
      </c>
      <c r="E92" s="1" t="n">
        <v>46216</v>
      </c>
      <c r="F92" t="inlineStr">
        <is>
          <t>JÖNKÖPINGS LÄN</t>
        </is>
      </c>
      <c r="G92" t="inlineStr">
        <is>
          <t>TRANÅS</t>
        </is>
      </c>
      <c r="I92" t="n">
        <v>0.8</v>
      </c>
      <c r="J92" t="n">
        <v>0</v>
      </c>
      <c r="K92" t="n">
        <v>0</v>
      </c>
      <c r="L92" t="n">
        <v>0</v>
      </c>
      <c r="M92" t="n">
        <v>0</v>
      </c>
      <c r="N92" t="n">
        <v>0</v>
      </c>
      <c r="O92" t="n">
        <v>0</v>
      </c>
      <c r="P92" t="n">
        <v>0</v>
      </c>
      <c r="Q92" t="n">
        <v>0</v>
      </c>
      <c r="R92" t="n">
        <v>0</v>
      </c>
      <c r="S92" t="n">
        <v>0</v>
      </c>
      <c r="T92" t="n">
        <v>0</v>
      </c>
      <c r="U92" s="2" t="inlineStr"/>
    </row>
    <row r="93" ht="15" customHeight="1">
      <c r="A93" t="inlineStr">
        <is>
          <t>A 20414-2025</t>
        </is>
      </c>
      <c r="B93" t="inlineStr">
        <is>
          <t>avverkningsanmälan</t>
        </is>
      </c>
      <c r="C93" t="inlineStr">
        <is>
          <t>Föryngringsavverkning</t>
        </is>
      </c>
      <c r="D93" s="1" t="n">
        <v>45775</v>
      </c>
      <c r="E93" s="1" t="n">
        <v>46216</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s="2" t="inlineStr"/>
    </row>
    <row r="94" ht="15" customHeight="1">
      <c r="A94" t="inlineStr">
        <is>
          <t>A 26855-2025</t>
        </is>
      </c>
      <c r="B94" t="inlineStr">
        <is>
          <t>avverkningsanmälan</t>
        </is>
      </c>
      <c r="C94" t="inlineStr">
        <is>
          <t>Föryngringsavverkning</t>
        </is>
      </c>
      <c r="D94" s="1" t="n">
        <v>45810</v>
      </c>
      <c r="E94" s="1" t="n">
        <v>46216</v>
      </c>
      <c r="F94" t="inlineStr">
        <is>
          <t>JÖNKÖPINGS LÄN</t>
        </is>
      </c>
      <c r="G94" t="inlineStr">
        <is>
          <t>TRANÅS</t>
        </is>
      </c>
      <c r="H94" t="inlineStr">
        <is>
          <t>Kommuner</t>
        </is>
      </c>
      <c r="I94" t="n">
        <v>1.3</v>
      </c>
      <c r="J94" t="n">
        <v>0</v>
      </c>
      <c r="K94" t="n">
        <v>0</v>
      </c>
      <c r="L94" t="n">
        <v>0</v>
      </c>
      <c r="M94" t="n">
        <v>0</v>
      </c>
      <c r="N94" t="n">
        <v>0</v>
      </c>
      <c r="O94" t="n">
        <v>0</v>
      </c>
      <c r="P94" t="n">
        <v>0</v>
      </c>
      <c r="Q94" t="n">
        <v>0</v>
      </c>
      <c r="R94" t="n">
        <v>0</v>
      </c>
      <c r="S94" t="n">
        <v>0</v>
      </c>
      <c r="T94" t="n">
        <v>0</v>
      </c>
      <c r="U94" s="2" t="inlineStr"/>
    </row>
    <row r="95" ht="15" customHeight="1">
      <c r="A95" t="inlineStr">
        <is>
          <t>A 39043-2025</t>
        </is>
      </c>
      <c r="B95" t="inlineStr">
        <is>
          <t>avverkningsanmälan</t>
        </is>
      </c>
      <c r="C95" t="inlineStr">
        <is>
          <t>Avverkning för annat ändamål</t>
        </is>
      </c>
      <c r="D95" s="1" t="n">
        <v>45888</v>
      </c>
      <c r="E95" s="1" t="n">
        <v>46216</v>
      </c>
      <c r="F95" t="inlineStr">
        <is>
          <t>JÖNKÖPINGS LÄN</t>
        </is>
      </c>
      <c r="G95" t="inlineStr">
        <is>
          <t>TRANÅS</t>
        </is>
      </c>
      <c r="I95" t="n">
        <v>4.6</v>
      </c>
      <c r="J95" t="n">
        <v>0</v>
      </c>
      <c r="K95" t="n">
        <v>0</v>
      </c>
      <c r="L95" t="n">
        <v>0</v>
      </c>
      <c r="M95" t="n">
        <v>0</v>
      </c>
      <c r="N95" t="n">
        <v>0</v>
      </c>
      <c r="O95" t="n">
        <v>0</v>
      </c>
      <c r="P95" t="n">
        <v>0</v>
      </c>
      <c r="Q95" t="n">
        <v>0</v>
      </c>
      <c r="R95" t="n">
        <v>0</v>
      </c>
      <c r="S95" t="n">
        <v>0</v>
      </c>
      <c r="T95" t="n">
        <v>0</v>
      </c>
      <c r="U95" s="2" t="inlineStr"/>
    </row>
    <row r="96" ht="15" customHeight="1">
      <c r="A96" t="inlineStr">
        <is>
          <t>A 13624-2023</t>
        </is>
      </c>
      <c r="B96" t="inlineStr">
        <is>
          <t>avverkningsanmälan</t>
        </is>
      </c>
      <c r="C96" t="inlineStr">
        <is>
          <t>Föryngringsavverkning</t>
        </is>
      </c>
      <c r="D96" s="1" t="n">
        <v>45006</v>
      </c>
      <c r="E96" s="1" t="n">
        <v>46216</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s="2" t="inlineStr"/>
    </row>
    <row r="97" ht="15" customHeight="1">
      <c r="A97" t="inlineStr">
        <is>
          <t>A 39047-2025</t>
        </is>
      </c>
      <c r="B97" t="inlineStr">
        <is>
          <t>avverkningsanmälan</t>
        </is>
      </c>
      <c r="C97" t="inlineStr">
        <is>
          <t>Föryngringsavverkning</t>
        </is>
      </c>
      <c r="D97" s="1" t="n">
        <v>45888</v>
      </c>
      <c r="E97" s="1" t="n">
        <v>46216</v>
      </c>
      <c r="F97" t="inlineStr">
        <is>
          <t>JÖNKÖPINGS LÄN</t>
        </is>
      </c>
      <c r="G97" t="inlineStr">
        <is>
          <t>TRANÅS</t>
        </is>
      </c>
      <c r="I97" t="n">
        <v>1.2</v>
      </c>
      <c r="J97" t="n">
        <v>0</v>
      </c>
      <c r="K97" t="n">
        <v>0</v>
      </c>
      <c r="L97" t="n">
        <v>0</v>
      </c>
      <c r="M97" t="n">
        <v>0</v>
      </c>
      <c r="N97" t="n">
        <v>0</v>
      </c>
      <c r="O97" t="n">
        <v>0</v>
      </c>
      <c r="P97" t="n">
        <v>0</v>
      </c>
      <c r="Q97" t="n">
        <v>0</v>
      </c>
      <c r="R97" t="n">
        <v>0</v>
      </c>
      <c r="S97" t="n">
        <v>0</v>
      </c>
      <c r="T97" t="n">
        <v>0</v>
      </c>
      <c r="U97" s="2" t="inlineStr"/>
    </row>
    <row r="98" ht="15" customHeight="1">
      <c r="A98" t="inlineStr">
        <is>
          <t>A 27786-2024</t>
        </is>
      </c>
      <c r="B98" t="inlineStr">
        <is>
          <t>avverkningsanmälan</t>
        </is>
      </c>
      <c r="C98" t="inlineStr">
        <is>
          <t>Föryngringsavverkning</t>
        </is>
      </c>
      <c r="D98" s="1" t="n">
        <v>45475</v>
      </c>
      <c r="E98" s="1" t="n">
        <v>46216</v>
      </c>
      <c r="F98" t="inlineStr">
        <is>
          <t>JÖNKÖPINGS LÄN</t>
        </is>
      </c>
      <c r="G98" t="inlineStr">
        <is>
          <t>TRANÅS</t>
        </is>
      </c>
      <c r="I98" t="n">
        <v>9.199999999999999</v>
      </c>
      <c r="J98" t="n">
        <v>0</v>
      </c>
      <c r="K98" t="n">
        <v>0</v>
      </c>
      <c r="L98" t="n">
        <v>0</v>
      </c>
      <c r="M98" t="n">
        <v>0</v>
      </c>
      <c r="N98" t="n">
        <v>0</v>
      </c>
      <c r="O98" t="n">
        <v>0</v>
      </c>
      <c r="P98" t="n">
        <v>0</v>
      </c>
      <c r="Q98" t="n">
        <v>0</v>
      </c>
      <c r="R98" t="n">
        <v>0</v>
      </c>
      <c r="S98" t="n">
        <v>0</v>
      </c>
      <c r="T98" t="n">
        <v>0</v>
      </c>
      <c r="U98" s="2" t="inlineStr"/>
    </row>
    <row r="99" ht="15" customHeight="1">
      <c r="A99" t="inlineStr">
        <is>
          <t>A 39593-2025</t>
        </is>
      </c>
      <c r="B99" t="inlineStr">
        <is>
          <t>avverkningsanmälan</t>
        </is>
      </c>
      <c r="C99" t="inlineStr">
        <is>
          <t>Föryngringsavverkning</t>
        </is>
      </c>
      <c r="D99" s="1" t="n">
        <v>45890</v>
      </c>
      <c r="E99" s="1" t="n">
        <v>46216</v>
      </c>
      <c r="F99" t="inlineStr">
        <is>
          <t>JÖNKÖPINGS LÄN</t>
        </is>
      </c>
      <c r="G99" t="inlineStr">
        <is>
          <t>TRANÅS</t>
        </is>
      </c>
      <c r="I99" t="n">
        <v>3.1</v>
      </c>
      <c r="J99" t="n">
        <v>0</v>
      </c>
      <c r="K99" t="n">
        <v>0</v>
      </c>
      <c r="L99" t="n">
        <v>0</v>
      </c>
      <c r="M99" t="n">
        <v>0</v>
      </c>
      <c r="N99" t="n">
        <v>0</v>
      </c>
      <c r="O99" t="n">
        <v>0</v>
      </c>
      <c r="P99" t="n">
        <v>0</v>
      </c>
      <c r="Q99" t="n">
        <v>0</v>
      </c>
      <c r="R99" t="n">
        <v>0</v>
      </c>
      <c r="S99" t="n">
        <v>0</v>
      </c>
      <c r="T99" t="n">
        <v>0</v>
      </c>
      <c r="U99" s="2" t="inlineStr"/>
    </row>
    <row r="100" ht="15" customHeight="1">
      <c r="A100" t="inlineStr">
        <is>
          <t>A 28997-2023</t>
        </is>
      </c>
      <c r="B100" t="inlineStr">
        <is>
          <t>avverkningsanmälan</t>
        </is>
      </c>
      <c r="C100" t="inlineStr">
        <is>
          <t>Avverkning för annat ändamål</t>
        </is>
      </c>
      <c r="D100" s="1" t="n">
        <v>45104</v>
      </c>
      <c r="E100" s="1" t="n">
        <v>46216</v>
      </c>
      <c r="F100" t="inlineStr">
        <is>
          <t>JÖNKÖPINGS LÄN</t>
        </is>
      </c>
      <c r="G100" t="inlineStr">
        <is>
          <t>TRANÅS</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54750-2022</t>
        </is>
      </c>
      <c r="B101" t="inlineStr">
        <is>
          <t>avverkningsanmälan</t>
        </is>
      </c>
      <c r="C101" t="inlineStr">
        <is>
          <t>Föryngringsavverkning</t>
        </is>
      </c>
      <c r="D101" s="1" t="n">
        <v>44881</v>
      </c>
      <c r="E101" s="1" t="n">
        <v>46216</v>
      </c>
      <c r="F101" t="inlineStr">
        <is>
          <t>JÖNKÖPINGS LÄN</t>
        </is>
      </c>
      <c r="G101" t="inlineStr">
        <is>
          <t>TRANÅS</t>
        </is>
      </c>
      <c r="I101" t="n">
        <v>3.4</v>
      </c>
      <c r="J101" t="n">
        <v>0</v>
      </c>
      <c r="K101" t="n">
        <v>0</v>
      </c>
      <c r="L101" t="n">
        <v>0</v>
      </c>
      <c r="M101" t="n">
        <v>0</v>
      </c>
      <c r="N101" t="n">
        <v>0</v>
      </c>
      <c r="O101" t="n">
        <v>0</v>
      </c>
      <c r="P101" t="n">
        <v>0</v>
      </c>
      <c r="Q101" t="n">
        <v>0</v>
      </c>
      <c r="R101" t="n">
        <v>0</v>
      </c>
      <c r="S101" t="n">
        <v>0</v>
      </c>
      <c r="T101" t="n">
        <v>0</v>
      </c>
      <c r="U101" s="2" t="inlineStr"/>
    </row>
    <row r="102" ht="15" customHeight="1">
      <c r="A102" t="inlineStr">
        <is>
          <t>A 5213-2024</t>
        </is>
      </c>
      <c r="B102" t="inlineStr">
        <is>
          <t>avverkningsanmälan</t>
        </is>
      </c>
      <c r="C102" t="inlineStr">
        <is>
          <t>Föryngringsavverkning</t>
        </is>
      </c>
      <c r="D102" s="1" t="n">
        <v>45330</v>
      </c>
      <c r="E102" s="1" t="n">
        <v>46216</v>
      </c>
      <c r="F102" t="inlineStr">
        <is>
          <t>JÖNKÖPINGS LÄN</t>
        </is>
      </c>
      <c r="G102" t="inlineStr">
        <is>
          <t>TRANÅS</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s="2" t="inlineStr"/>
    </row>
    <row r="103" ht="15" customHeight="1">
      <c r="A103" t="inlineStr">
        <is>
          <t>A 42885-2025</t>
        </is>
      </c>
      <c r="B103" t="inlineStr">
        <is>
          <t>avverkningsanmälan</t>
        </is>
      </c>
      <c r="C103" t="inlineStr">
        <is>
          <t>Föryngringsavverkning</t>
        </is>
      </c>
      <c r="D103" s="1" t="n">
        <v>45908</v>
      </c>
      <c r="E103" s="1" t="n">
        <v>46216</v>
      </c>
      <c r="F103" t="inlineStr">
        <is>
          <t>JÖNKÖPINGS LÄN</t>
        </is>
      </c>
      <c r="G103" t="inlineStr">
        <is>
          <t>TRANÅS</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44698-2025</t>
        </is>
      </c>
      <c r="B104" t="inlineStr">
        <is>
          <t>avverkningsanmälan</t>
        </is>
      </c>
      <c r="C104" t="inlineStr">
        <is>
          <t>Föryngringsavverkning</t>
        </is>
      </c>
      <c r="D104" s="1" t="n">
        <v>45917</v>
      </c>
      <c r="E104" s="1" t="n">
        <v>46216</v>
      </c>
      <c r="F104" t="inlineStr">
        <is>
          <t>JÖNKÖPINGS LÄN</t>
        </is>
      </c>
      <c r="G104" t="inlineStr">
        <is>
          <t>TRANÅS</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44235-2025</t>
        </is>
      </c>
      <c r="B105" t="inlineStr">
        <is>
          <t>avverkningsanmälan</t>
        </is>
      </c>
      <c r="C105" t="inlineStr">
        <is>
          <t>Föryngringsavverkning</t>
        </is>
      </c>
      <c r="D105" s="1" t="n">
        <v>45915</v>
      </c>
      <c r="E105" s="1" t="n">
        <v>46216</v>
      </c>
      <c r="F105" t="inlineStr">
        <is>
          <t>JÖNKÖPINGS LÄN</t>
        </is>
      </c>
      <c r="G105" t="inlineStr">
        <is>
          <t>TRANÅS</t>
        </is>
      </c>
      <c r="I105" t="n">
        <v>2.3</v>
      </c>
      <c r="J105" t="n">
        <v>0</v>
      </c>
      <c r="K105" t="n">
        <v>0</v>
      </c>
      <c r="L105" t="n">
        <v>0</v>
      </c>
      <c r="M105" t="n">
        <v>0</v>
      </c>
      <c r="N105" t="n">
        <v>0</v>
      </c>
      <c r="O105" t="n">
        <v>0</v>
      </c>
      <c r="P105" t="n">
        <v>0</v>
      </c>
      <c r="Q105" t="n">
        <v>0</v>
      </c>
      <c r="R105" t="n">
        <v>0</v>
      </c>
      <c r="S105" t="n">
        <v>0</v>
      </c>
      <c r="T105" t="n">
        <v>0</v>
      </c>
      <c r="U105" s="2" t="inlineStr"/>
      <c r="W105">
        <f>HYPERLINK("https://klasma.github.io/Logging_0687/kartor/A 44235-2025 karta.png", "A 44235-2025")</f>
        <v/>
      </c>
      <c r="Y105">
        <f>HYPERLINK("https://klasma.github.io/Logging_0687/klagomål/A 44235-2025 FSC-klagomål.docx", "A 44235-2025")</f>
        <v/>
      </c>
      <c r="Z105">
        <f>HYPERLINK("https://klasma.github.io/Logging_0687/klagomålsmail/A 44235-2025 FSC-klagomål mail.docx", "A 44235-2025")</f>
        <v/>
      </c>
      <c r="AA105">
        <f>HYPERLINK("https://klasma.github.io/Logging_0687/tillsyn/A 44235-2025 tillsynsbegäran.docx", "A 44235-2025")</f>
        <v/>
      </c>
      <c r="AB105">
        <f>HYPERLINK("https://klasma.github.io/Logging_0687/tillsynsmail/A 44235-2025 tillsynsbegäran mail.docx", "A 44235-2025")</f>
        <v/>
      </c>
    </row>
    <row r="106" ht="15" customHeight="1">
      <c r="A106" t="inlineStr">
        <is>
          <t>A 17617-2023</t>
        </is>
      </c>
      <c r="B106" t="inlineStr">
        <is>
          <t>avverkningsanmälan</t>
        </is>
      </c>
      <c r="C106" t="inlineStr">
        <is>
          <t>Föryngringsavverkning</t>
        </is>
      </c>
      <c r="D106" s="1" t="n">
        <v>45036</v>
      </c>
      <c r="E106" s="1" t="n">
        <v>46216</v>
      </c>
      <c r="F106" t="inlineStr">
        <is>
          <t>JÖNKÖPINGS LÄN</t>
        </is>
      </c>
      <c r="G106" t="inlineStr">
        <is>
          <t>TRANÅS</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1516-2024</t>
        </is>
      </c>
      <c r="B107" t="inlineStr">
        <is>
          <t>avverkningsanmälan</t>
        </is>
      </c>
      <c r="C107" t="inlineStr">
        <is>
          <t>Föryngringsavverkning</t>
        </is>
      </c>
      <c r="D107" s="1" t="n">
        <v>45306</v>
      </c>
      <c r="E107" s="1" t="n">
        <v>46216</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19323-2025</t>
        </is>
      </c>
      <c r="B108" t="inlineStr">
        <is>
          <t>avverkningsanmälan</t>
        </is>
      </c>
      <c r="C108" t="inlineStr">
        <is>
          <t>Föryngringsavverkning</t>
        </is>
      </c>
      <c r="D108" s="1" t="n">
        <v>45769</v>
      </c>
      <c r="E108" s="1" t="n">
        <v>46216</v>
      </c>
      <c r="F108" t="inlineStr">
        <is>
          <t>JÖNKÖPINGS LÄN</t>
        </is>
      </c>
      <c r="G108" t="inlineStr">
        <is>
          <t>TRANÅS</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2449-2026</t>
        </is>
      </c>
      <c r="B109" t="inlineStr">
        <is>
          <t>avverkningsanmälan</t>
        </is>
      </c>
      <c r="C109" t="inlineStr">
        <is>
          <t>Föryngringsavverkning</t>
        </is>
      </c>
      <c r="D109" s="1" t="n">
        <v>46037</v>
      </c>
      <c r="E109" s="1" t="n">
        <v>46216</v>
      </c>
      <c r="F109" t="inlineStr">
        <is>
          <t>JÖNKÖPINGS LÄN</t>
        </is>
      </c>
      <c r="G109" t="inlineStr">
        <is>
          <t>TRANÅS</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46075-2025</t>
        </is>
      </c>
      <c r="B110" t="inlineStr">
        <is>
          <t>avverkningsanmälan</t>
        </is>
      </c>
      <c r="C110" t="inlineStr">
        <is>
          <t>Föryngringsavverkning</t>
        </is>
      </c>
      <c r="D110" s="1" t="n">
        <v>45924</v>
      </c>
      <c r="E110" s="1" t="n">
        <v>46216</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46337-2025</t>
        </is>
      </c>
      <c r="B111" t="inlineStr">
        <is>
          <t>avverkningsanmälan</t>
        </is>
      </c>
      <c r="C111" t="inlineStr">
        <is>
          <t>Föryngringsavverkning</t>
        </is>
      </c>
      <c r="D111" s="1" t="n">
        <v>45925</v>
      </c>
      <c r="E111" s="1" t="n">
        <v>46216</v>
      </c>
      <c r="F111" t="inlineStr">
        <is>
          <t>JÖNKÖPINGS LÄN</t>
        </is>
      </c>
      <c r="G111" t="inlineStr">
        <is>
          <t>TRANÅS</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46333-2025</t>
        </is>
      </c>
      <c r="B112" t="inlineStr">
        <is>
          <t>avverkningsanmälan</t>
        </is>
      </c>
      <c r="C112" t="inlineStr">
        <is>
          <t>Föryngringsavverkning</t>
        </is>
      </c>
      <c r="D112" s="1" t="n">
        <v>45925</v>
      </c>
      <c r="E112" s="1" t="n">
        <v>46216</v>
      </c>
      <c r="F112" t="inlineStr">
        <is>
          <t>JÖNKÖPINGS LÄN</t>
        </is>
      </c>
      <c r="G112" t="inlineStr">
        <is>
          <t>TRANÅS</t>
        </is>
      </c>
      <c r="H112" t="inlineStr">
        <is>
          <t>Allmännings- och besparingsskogar</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46330-2025</t>
        </is>
      </c>
      <c r="B113" t="inlineStr">
        <is>
          <t>avverkningsanmälan</t>
        </is>
      </c>
      <c r="C113" t="inlineStr">
        <is>
          <t>Föryngringsavverkning</t>
        </is>
      </c>
      <c r="D113" s="1" t="n">
        <v>45925</v>
      </c>
      <c r="E113" s="1" t="n">
        <v>46216</v>
      </c>
      <c r="F113" t="inlineStr">
        <is>
          <t>JÖNKÖPINGS LÄN</t>
        </is>
      </c>
      <c r="G113" t="inlineStr">
        <is>
          <t>TRANÅS</t>
        </is>
      </c>
      <c r="H113" t="inlineStr">
        <is>
          <t>Allmännings- och besparingsskogar</t>
        </is>
      </c>
      <c r="I113" t="n">
        <v>2</v>
      </c>
      <c r="J113" t="n">
        <v>0</v>
      </c>
      <c r="K113" t="n">
        <v>0</v>
      </c>
      <c r="L113" t="n">
        <v>0</v>
      </c>
      <c r="M113" t="n">
        <v>0</v>
      </c>
      <c r="N113" t="n">
        <v>0</v>
      </c>
      <c r="O113" t="n">
        <v>0</v>
      </c>
      <c r="P113" t="n">
        <v>0</v>
      </c>
      <c r="Q113" t="n">
        <v>0</v>
      </c>
      <c r="R113" t="n">
        <v>0</v>
      </c>
      <c r="S113" t="n">
        <v>0</v>
      </c>
      <c r="T113" t="n">
        <v>0</v>
      </c>
      <c r="U113" s="2" t="inlineStr"/>
    </row>
    <row r="114" ht="15" customHeight="1">
      <c r="A114" t="inlineStr">
        <is>
          <t>A 40098-2021</t>
        </is>
      </c>
      <c r="B114" t="inlineStr">
        <is>
          <t>avverkningsanmälan</t>
        </is>
      </c>
      <c r="C114" t="inlineStr">
        <is>
          <t>Föryngringsavverkning</t>
        </is>
      </c>
      <c r="D114" s="1" t="n">
        <v>44418</v>
      </c>
      <c r="E114" s="1" t="n">
        <v>46216</v>
      </c>
      <c r="F114" t="inlineStr">
        <is>
          <t>JÖNKÖPINGS LÄN</t>
        </is>
      </c>
      <c r="G114" t="inlineStr">
        <is>
          <t>TRANÅS</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2476-2026</t>
        </is>
      </c>
      <c r="B115" t="inlineStr">
        <is>
          <t>avverkningsanmälan</t>
        </is>
      </c>
      <c r="C115" t="inlineStr">
        <is>
          <t>Föryngringsavverkning</t>
        </is>
      </c>
      <c r="D115" s="1" t="n">
        <v>46037</v>
      </c>
      <c r="E115" s="1" t="n">
        <v>46216</v>
      </c>
      <c r="F115" t="inlineStr">
        <is>
          <t>JÖNKÖPINGS LÄN</t>
        </is>
      </c>
      <c r="G115" t="inlineStr">
        <is>
          <t>TRANÅS</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12654-2024</t>
        </is>
      </c>
      <c r="B116" t="inlineStr">
        <is>
          <t>avverkningsanmälan</t>
        </is>
      </c>
      <c r="C116" t="inlineStr">
        <is>
          <t>Föryngringsavverkning</t>
        </is>
      </c>
      <c r="D116" s="1" t="n">
        <v>45379</v>
      </c>
      <c r="E116" s="1" t="n">
        <v>46216</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47753-2025</t>
        </is>
      </c>
      <c r="B117" t="inlineStr">
        <is>
          <t>avverkningsanmälan</t>
        </is>
      </c>
      <c r="C117" t="inlineStr">
        <is>
          <t>Föryngringsavverkning</t>
        </is>
      </c>
      <c r="D117" s="1" t="n">
        <v>45931</v>
      </c>
      <c r="E117" s="1" t="n">
        <v>46216</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28139-2023</t>
        </is>
      </c>
      <c r="B118" t="inlineStr">
        <is>
          <t>avverkningsanmälan</t>
        </is>
      </c>
      <c r="C118" t="inlineStr">
        <is>
          <t>Föryngringsavverkning</t>
        </is>
      </c>
      <c r="D118" s="1" t="n">
        <v>45099</v>
      </c>
      <c r="E118" s="1" t="n">
        <v>46216</v>
      </c>
      <c r="F118" t="inlineStr">
        <is>
          <t>JÖNKÖPINGS LÄN</t>
        </is>
      </c>
      <c r="G118" t="inlineStr">
        <is>
          <t>TRANÅS</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49118-2025</t>
        </is>
      </c>
      <c r="B119" t="inlineStr">
        <is>
          <t>avverkningsanmälan</t>
        </is>
      </c>
      <c r="C119" t="inlineStr">
        <is>
          <t>Föryngringsavverkning</t>
        </is>
      </c>
      <c r="D119" s="1" t="n">
        <v>45937</v>
      </c>
      <c r="E119" s="1" t="n">
        <v>46216</v>
      </c>
      <c r="F119" t="inlineStr">
        <is>
          <t>JÖNKÖPINGS LÄN</t>
        </is>
      </c>
      <c r="G119" t="inlineStr">
        <is>
          <t>TRANÅS</t>
        </is>
      </c>
      <c r="I119" t="n">
        <v>3.5</v>
      </c>
      <c r="J119" t="n">
        <v>0</v>
      </c>
      <c r="K119" t="n">
        <v>0</v>
      </c>
      <c r="L119" t="n">
        <v>0</v>
      </c>
      <c r="M119" t="n">
        <v>0</v>
      </c>
      <c r="N119" t="n">
        <v>0</v>
      </c>
      <c r="O119" t="n">
        <v>0</v>
      </c>
      <c r="P119" t="n">
        <v>0</v>
      </c>
      <c r="Q119" t="n">
        <v>0</v>
      </c>
      <c r="R119" t="n">
        <v>0</v>
      </c>
      <c r="S119" t="n">
        <v>0</v>
      </c>
      <c r="T119" t="n">
        <v>0</v>
      </c>
      <c r="U119" s="2" t="inlineStr"/>
    </row>
    <row r="120" ht="15" customHeight="1">
      <c r="A120" t="inlineStr">
        <is>
          <t>A 2365-2025</t>
        </is>
      </c>
      <c r="B120" t="inlineStr">
        <is>
          <t>avverkningsanmälan</t>
        </is>
      </c>
      <c r="C120" t="inlineStr">
        <is>
          <t>Föryngringsavverkning</t>
        </is>
      </c>
      <c r="D120" s="1" t="n">
        <v>45673</v>
      </c>
      <c r="E120" s="1" t="n">
        <v>46216</v>
      </c>
      <c r="F120" t="inlineStr">
        <is>
          <t>JÖNKÖPINGS LÄN</t>
        </is>
      </c>
      <c r="G120" t="inlineStr">
        <is>
          <t>TRANÅS</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49610-2025</t>
        </is>
      </c>
      <c r="B121" t="inlineStr">
        <is>
          <t>avverkningsanmälan</t>
        </is>
      </c>
      <c r="C121" t="inlineStr">
        <is>
          <t>Avverkning för att bevara och utveckla /försöksver</t>
        </is>
      </c>
      <c r="D121" s="1" t="n">
        <v>45939</v>
      </c>
      <c r="E121" s="1" t="n">
        <v>46216</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70037-2021</t>
        </is>
      </c>
      <c r="B122" t="inlineStr">
        <is>
          <t>avverkningsanmälan</t>
        </is>
      </c>
      <c r="C122" t="inlineStr">
        <is>
          <t>Föryngringsavverkning</t>
        </is>
      </c>
      <c r="D122" s="1" t="n">
        <v>44533</v>
      </c>
      <c r="E122" s="1" t="n">
        <v>46216</v>
      </c>
      <c r="F122" t="inlineStr">
        <is>
          <t>JÖNKÖPINGS LÄN</t>
        </is>
      </c>
      <c r="G122" t="inlineStr">
        <is>
          <t>TRANÅS</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48751-2021</t>
        </is>
      </c>
      <c r="B123" t="inlineStr">
        <is>
          <t>avverkningsanmälan</t>
        </is>
      </c>
      <c r="C123" t="inlineStr">
        <is>
          <t>Föryngringsavverkning</t>
        </is>
      </c>
      <c r="D123" s="1" t="n">
        <v>44452</v>
      </c>
      <c r="E123" s="1" t="n">
        <v>46216</v>
      </c>
      <c r="F123" t="inlineStr">
        <is>
          <t>JÖNKÖPINGS LÄN</t>
        </is>
      </c>
      <c r="G123" t="inlineStr">
        <is>
          <t>TRANÅS</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59171-2024</t>
        </is>
      </c>
      <c r="B124" t="inlineStr">
        <is>
          <t>avverkningsanmälan</t>
        </is>
      </c>
      <c r="C124" t="inlineStr">
        <is>
          <t>Avverkning för annat ändamål</t>
        </is>
      </c>
      <c r="D124" s="1" t="n">
        <v>45637</v>
      </c>
      <c r="E124" s="1" t="n">
        <v>46216</v>
      </c>
      <c r="F124" t="inlineStr">
        <is>
          <t>JÖNKÖPINGS LÄN</t>
        </is>
      </c>
      <c r="G124" t="inlineStr">
        <is>
          <t>TRANÅS</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21876-2023</t>
        </is>
      </c>
      <c r="B125" t="inlineStr">
        <is>
          <t>avverkningsanmälan</t>
        </is>
      </c>
      <c r="C125" t="inlineStr">
        <is>
          <t>Avverkning för annat ändamål</t>
        </is>
      </c>
      <c r="D125" s="1" t="n">
        <v>45068</v>
      </c>
      <c r="E125" s="1" t="n">
        <v>46216</v>
      </c>
      <c r="F125" t="inlineStr">
        <is>
          <t>JÖNKÖPINGS LÄN</t>
        </is>
      </c>
      <c r="G125" t="inlineStr">
        <is>
          <t>TRANÅS</t>
        </is>
      </c>
      <c r="I125" t="n">
        <v>2.3</v>
      </c>
      <c r="J125" t="n">
        <v>0</v>
      </c>
      <c r="K125" t="n">
        <v>0</v>
      </c>
      <c r="L125" t="n">
        <v>0</v>
      </c>
      <c r="M125" t="n">
        <v>0</v>
      </c>
      <c r="N125" t="n">
        <v>0</v>
      </c>
      <c r="O125" t="n">
        <v>0</v>
      </c>
      <c r="P125" t="n">
        <v>0</v>
      </c>
      <c r="Q125" t="n">
        <v>0</v>
      </c>
      <c r="R125" t="n">
        <v>0</v>
      </c>
      <c r="S125" t="n">
        <v>0</v>
      </c>
      <c r="T125" t="n">
        <v>0</v>
      </c>
      <c r="U125" s="2" t="inlineStr"/>
    </row>
    <row r="126" ht="15" customHeight="1">
      <c r="A126" t="inlineStr">
        <is>
          <t>A 49844-2025</t>
        </is>
      </c>
      <c r="B126" t="inlineStr">
        <is>
          <t>avverkningsanmälan</t>
        </is>
      </c>
      <c r="C126" t="inlineStr">
        <is>
          <t>Föryngringsavverkning</t>
        </is>
      </c>
      <c r="D126" s="1" t="n">
        <v>45940</v>
      </c>
      <c r="E126" s="1" t="n">
        <v>46216</v>
      </c>
      <c r="F126" t="inlineStr">
        <is>
          <t>JÖNKÖPINGS LÄN</t>
        </is>
      </c>
      <c r="G126" t="inlineStr">
        <is>
          <t>TRANÅS</t>
        </is>
      </c>
      <c r="H126" t="inlineStr">
        <is>
          <t>Kyrkan</t>
        </is>
      </c>
      <c r="I126" t="n">
        <v>6</v>
      </c>
      <c r="J126" t="n">
        <v>0</v>
      </c>
      <c r="K126" t="n">
        <v>0</v>
      </c>
      <c r="L126" t="n">
        <v>0</v>
      </c>
      <c r="M126" t="n">
        <v>0</v>
      </c>
      <c r="N126" t="n">
        <v>0</v>
      </c>
      <c r="O126" t="n">
        <v>0</v>
      </c>
      <c r="P126" t="n">
        <v>0</v>
      </c>
      <c r="Q126" t="n">
        <v>0</v>
      </c>
      <c r="R126" t="n">
        <v>0</v>
      </c>
      <c r="S126" t="n">
        <v>0</v>
      </c>
      <c r="T126" t="n">
        <v>0</v>
      </c>
      <c r="U126" s="2" t="inlineStr"/>
    </row>
    <row r="127" ht="15" customHeight="1">
      <c r="A127" t="inlineStr">
        <is>
          <t>A 50749-2025</t>
        </is>
      </c>
      <c r="B127" t="inlineStr">
        <is>
          <t>avverkningsanmälan</t>
        </is>
      </c>
      <c r="C127" t="inlineStr">
        <is>
          <t>Föryngringsavverkning</t>
        </is>
      </c>
      <c r="D127" s="1" t="n">
        <v>45946</v>
      </c>
      <c r="E127" s="1" t="n">
        <v>46216</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22671-2025</t>
        </is>
      </c>
      <c r="B128" t="inlineStr">
        <is>
          <t>avverkningsanmälan</t>
        </is>
      </c>
      <c r="C128" t="inlineStr">
        <is>
          <t>Föryngringsavverkning</t>
        </is>
      </c>
      <c r="D128" s="1" t="n">
        <v>45789</v>
      </c>
      <c r="E128" s="1" t="n">
        <v>46216</v>
      </c>
      <c r="F128" t="inlineStr">
        <is>
          <t>JÖNKÖPINGS LÄN</t>
        </is>
      </c>
      <c r="G128" t="inlineStr">
        <is>
          <t>TRANÅS</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3458-2026</t>
        </is>
      </c>
      <c r="B129" t="inlineStr">
        <is>
          <t>avverkningsanmälan</t>
        </is>
      </c>
      <c r="C129" t="inlineStr">
        <is>
          <t>Avverkning för annat ändamål</t>
        </is>
      </c>
      <c r="D129" s="1" t="n">
        <v>46042</v>
      </c>
      <c r="E129" s="1" t="n">
        <v>46216</v>
      </c>
      <c r="F129" t="inlineStr">
        <is>
          <t>JÖNKÖPINGS LÄN</t>
        </is>
      </c>
      <c r="G129" t="inlineStr">
        <is>
          <t>TRANÅS</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52188-2025</t>
        </is>
      </c>
      <c r="B130" t="inlineStr">
        <is>
          <t>avverkningsanmälan</t>
        </is>
      </c>
      <c r="C130" t="inlineStr">
        <is>
          <t>Föryngringsavverkning</t>
        </is>
      </c>
      <c r="D130" s="1" t="n">
        <v>45953</v>
      </c>
      <c r="E130" s="1" t="n">
        <v>46216</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52515-2025</t>
        </is>
      </c>
      <c r="B131" t="inlineStr">
        <is>
          <t>avverkningsanmälan</t>
        </is>
      </c>
      <c r="C131" t="inlineStr">
        <is>
          <t>Föryngringsavverkning</t>
        </is>
      </c>
      <c r="D131" s="1" t="n">
        <v>45954</v>
      </c>
      <c r="E131" s="1" t="n">
        <v>46216</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s="2" t="inlineStr"/>
    </row>
    <row r="132" ht="15" customHeight="1">
      <c r="A132" t="inlineStr">
        <is>
          <t>A 20663-2022</t>
        </is>
      </c>
      <c r="B132" t="inlineStr">
        <is>
          <t>avverkningsanmälan</t>
        </is>
      </c>
      <c r="C132" t="inlineStr">
        <is>
          <t>Föryngringsavverkning</t>
        </is>
      </c>
      <c r="D132" s="1" t="n">
        <v>44700</v>
      </c>
      <c r="E132" s="1" t="n">
        <v>46216</v>
      </c>
      <c r="F132" t="inlineStr">
        <is>
          <t>JÖNKÖPINGS LÄN</t>
        </is>
      </c>
      <c r="G132" t="inlineStr">
        <is>
          <t>TRANÅS</t>
        </is>
      </c>
      <c r="H132" t="inlineStr">
        <is>
          <t>Allmännings- och besparingsskogar</t>
        </is>
      </c>
      <c r="I132" t="n">
        <v>6.8</v>
      </c>
      <c r="J132" t="n">
        <v>0</v>
      </c>
      <c r="K132" t="n">
        <v>0</v>
      </c>
      <c r="L132" t="n">
        <v>0</v>
      </c>
      <c r="M132" t="n">
        <v>0</v>
      </c>
      <c r="N132" t="n">
        <v>0</v>
      </c>
      <c r="O132" t="n">
        <v>0</v>
      </c>
      <c r="P132" t="n">
        <v>0</v>
      </c>
      <c r="Q132" t="n">
        <v>0</v>
      </c>
      <c r="R132" t="n">
        <v>0</v>
      </c>
      <c r="S132" t="n">
        <v>0</v>
      </c>
      <c r="T132" t="n">
        <v>0</v>
      </c>
      <c r="U132" s="2" t="inlineStr"/>
    </row>
    <row r="133" ht="15" customHeight="1">
      <c r="A133" t="inlineStr">
        <is>
          <t>A 52497-2025</t>
        </is>
      </c>
      <c r="B133" t="inlineStr">
        <is>
          <t>avverkningsanmälan</t>
        </is>
      </c>
      <c r="C133" t="inlineStr">
        <is>
          <t>Föryngringsavverkning</t>
        </is>
      </c>
      <c r="D133" s="1" t="n">
        <v>45954</v>
      </c>
      <c r="E133" s="1" t="n">
        <v>46216</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11606-2023</t>
        </is>
      </c>
      <c r="B134" t="inlineStr">
        <is>
          <t>avverkningsanmälan</t>
        </is>
      </c>
      <c r="C134" t="inlineStr">
        <is>
          <t>Föryngringsavverkning</t>
        </is>
      </c>
      <c r="D134" s="1" t="n">
        <v>44992</v>
      </c>
      <c r="E134" s="1" t="n">
        <v>46216</v>
      </c>
      <c r="F134" t="inlineStr">
        <is>
          <t>JÖNKÖPINGS LÄN</t>
        </is>
      </c>
      <c r="G134" t="inlineStr">
        <is>
          <t>TRANÅS</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53447-2025</t>
        </is>
      </c>
      <c r="B135" t="inlineStr">
        <is>
          <t>avverkningsanmälan</t>
        </is>
      </c>
      <c r="C135" t="inlineStr">
        <is>
          <t>Föryngringsavverkning</t>
        </is>
      </c>
      <c r="D135" s="1" t="n">
        <v>45959</v>
      </c>
      <c r="E135" s="1" t="n">
        <v>46216</v>
      </c>
      <c r="F135" t="inlineStr">
        <is>
          <t>JÖNKÖPINGS LÄN</t>
        </is>
      </c>
      <c r="G135" t="inlineStr">
        <is>
          <t>TRANÅS</t>
        </is>
      </c>
      <c r="H135" t="inlineStr">
        <is>
          <t>Allmännings- och besparingsskogar</t>
        </is>
      </c>
      <c r="I135" t="n">
        <v>4.3</v>
      </c>
      <c r="J135" t="n">
        <v>0</v>
      </c>
      <c r="K135" t="n">
        <v>0</v>
      </c>
      <c r="L135" t="n">
        <v>0</v>
      </c>
      <c r="M135" t="n">
        <v>0</v>
      </c>
      <c r="N135" t="n">
        <v>0</v>
      </c>
      <c r="O135" t="n">
        <v>0</v>
      </c>
      <c r="P135" t="n">
        <v>0</v>
      </c>
      <c r="Q135" t="n">
        <v>0</v>
      </c>
      <c r="R135" t="n">
        <v>0</v>
      </c>
      <c r="S135" t="n">
        <v>0</v>
      </c>
      <c r="T135" t="n">
        <v>0</v>
      </c>
      <c r="U135" s="2" t="inlineStr"/>
    </row>
    <row r="136" ht="15" customHeight="1">
      <c r="A136" t="inlineStr">
        <is>
          <t>A 8999-2025</t>
        </is>
      </c>
      <c r="B136" t="inlineStr">
        <is>
          <t>avverkningsanmälan</t>
        </is>
      </c>
      <c r="C136" t="inlineStr">
        <is>
          <t>Föryngringsavverkning</t>
        </is>
      </c>
      <c r="D136" s="1" t="n">
        <v>45712</v>
      </c>
      <c r="E136" s="1" t="n">
        <v>46216</v>
      </c>
      <c r="F136" t="inlineStr">
        <is>
          <t>JÖNKÖPINGS LÄN</t>
        </is>
      </c>
      <c r="G136" t="inlineStr">
        <is>
          <t>TRANÅS</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24967-2023</t>
        </is>
      </c>
      <c r="B137" t="inlineStr">
        <is>
          <t>avverkningsanmälan</t>
        </is>
      </c>
      <c r="C137" t="inlineStr">
        <is>
          <t>Föryngringsavverkning</t>
        </is>
      </c>
      <c r="D137" s="1" t="n">
        <v>45085</v>
      </c>
      <c r="E137" s="1" t="n">
        <v>46216</v>
      </c>
      <c r="F137" t="inlineStr">
        <is>
          <t>JÖNKÖPINGS LÄN</t>
        </is>
      </c>
      <c r="G137" t="inlineStr">
        <is>
          <t>TRANÅS</t>
        </is>
      </c>
      <c r="H137" t="inlineStr">
        <is>
          <t>Kommuner</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54351-2025</t>
        </is>
      </c>
      <c r="B138" t="inlineStr">
        <is>
          <t>avverkningsanmälan</t>
        </is>
      </c>
      <c r="C138" t="inlineStr">
        <is>
          <t>Föryngringsavverkning</t>
        </is>
      </c>
      <c r="D138" s="1" t="n">
        <v>45965</v>
      </c>
      <c r="E138" s="1" t="n">
        <v>46216</v>
      </c>
      <c r="F138" t="inlineStr">
        <is>
          <t>JÖNKÖPINGS LÄN</t>
        </is>
      </c>
      <c r="G138" t="inlineStr">
        <is>
          <t>TRANÅS</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54992-2025</t>
        </is>
      </c>
      <c r="B139" t="inlineStr">
        <is>
          <t>avverkningsanmälan</t>
        </is>
      </c>
      <c r="C139" t="inlineStr">
        <is>
          <t>Avverkning för annat ändamål</t>
        </is>
      </c>
      <c r="D139" s="1" t="n">
        <v>45967</v>
      </c>
      <c r="E139" s="1" t="n">
        <v>46216</v>
      </c>
      <c r="F139" t="inlineStr">
        <is>
          <t>JÖNKÖPINGS LÄN</t>
        </is>
      </c>
      <c r="G139" t="inlineStr">
        <is>
          <t>TRANÅS</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6396-2026</t>
        </is>
      </c>
      <c r="B140" t="inlineStr">
        <is>
          <t>avverkningsanmälan</t>
        </is>
      </c>
      <c r="C140" t="inlineStr">
        <is>
          <t>Föryngringsavverkning</t>
        </is>
      </c>
      <c r="D140" s="1" t="n">
        <v>46055</v>
      </c>
      <c r="E140" s="1" t="n">
        <v>46216</v>
      </c>
      <c r="F140" t="inlineStr">
        <is>
          <t>JÖNKÖPINGS LÄN</t>
        </is>
      </c>
      <c r="G140" t="inlineStr">
        <is>
          <t>TRANÅS</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21012-2022</t>
        </is>
      </c>
      <c r="B141" t="inlineStr">
        <is>
          <t>avverkningsanmälan</t>
        </is>
      </c>
      <c r="C141" t="inlineStr">
        <is>
          <t>Föryngringsavverkning</t>
        </is>
      </c>
      <c r="D141" s="1" t="n">
        <v>44701</v>
      </c>
      <c r="E141" s="1" t="n">
        <v>46216</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s="2" t="inlineStr"/>
    </row>
    <row r="142" ht="15" customHeight="1">
      <c r="A142" t="inlineStr">
        <is>
          <t>A 37221-2024</t>
        </is>
      </c>
      <c r="B142" t="inlineStr">
        <is>
          <t>avverkningsanmälan</t>
        </is>
      </c>
      <c r="C142" t="inlineStr">
        <is>
          <t>Föryngringsavverkning</t>
        </is>
      </c>
      <c r="D142" s="1" t="n">
        <v>45539</v>
      </c>
      <c r="E142" s="1" t="n">
        <v>46216</v>
      </c>
      <c r="F142" t="inlineStr">
        <is>
          <t>JÖNKÖPINGS LÄN</t>
        </is>
      </c>
      <c r="G142" t="inlineStr">
        <is>
          <t>TRANÅS</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37160-2023</t>
        </is>
      </c>
      <c r="B143" t="inlineStr">
        <is>
          <t>avverkningsanmälan</t>
        </is>
      </c>
      <c r="C143" t="inlineStr">
        <is>
          <t>Föryngringsavverkning</t>
        </is>
      </c>
      <c r="D143" s="1" t="n">
        <v>45154</v>
      </c>
      <c r="E143" s="1" t="n">
        <v>46216</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37949-2023</t>
        </is>
      </c>
      <c r="B144" t="inlineStr">
        <is>
          <t>avverkningsanmälan</t>
        </is>
      </c>
      <c r="C144" t="inlineStr">
        <is>
          <t>Föryngringsavverkning</t>
        </is>
      </c>
      <c r="D144" s="1" t="n">
        <v>45159</v>
      </c>
      <c r="E144" s="1" t="n">
        <v>46216</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6110-2026</t>
        </is>
      </c>
      <c r="B145" t="inlineStr">
        <is>
          <t>avverkningsanmälan</t>
        </is>
      </c>
      <c r="C145" t="inlineStr">
        <is>
          <t>Föryngringsavverkning</t>
        </is>
      </c>
      <c r="D145" s="1" t="n">
        <v>46053</v>
      </c>
      <c r="E145" s="1" t="n">
        <v>46216</v>
      </c>
      <c r="F145" t="inlineStr">
        <is>
          <t>JÖNKÖPINGS LÄN</t>
        </is>
      </c>
      <c r="G145" t="inlineStr">
        <is>
          <t>TRANÅS</t>
        </is>
      </c>
      <c r="I145" t="n">
        <v>2.5</v>
      </c>
      <c r="J145" t="n">
        <v>0</v>
      </c>
      <c r="K145" t="n">
        <v>0</v>
      </c>
      <c r="L145" t="n">
        <v>0</v>
      </c>
      <c r="M145" t="n">
        <v>0</v>
      </c>
      <c r="N145" t="n">
        <v>0</v>
      </c>
      <c r="O145" t="n">
        <v>0</v>
      </c>
      <c r="P145" t="n">
        <v>0</v>
      </c>
      <c r="Q145" t="n">
        <v>0</v>
      </c>
      <c r="R145" t="n">
        <v>0</v>
      </c>
      <c r="S145" t="n">
        <v>0</v>
      </c>
      <c r="T145" t="n">
        <v>0</v>
      </c>
      <c r="U145" s="2" t="inlineStr"/>
    </row>
    <row r="146" ht="15" customHeight="1">
      <c r="A146" t="inlineStr">
        <is>
          <t>A 56148-2025</t>
        </is>
      </c>
      <c r="B146" t="inlineStr">
        <is>
          <t>avverkningsanmälan</t>
        </is>
      </c>
      <c r="C146" t="inlineStr">
        <is>
          <t>Föryngringsavverkning</t>
        </is>
      </c>
      <c r="D146" s="1" t="n">
        <v>45974</v>
      </c>
      <c r="E146" s="1" t="n">
        <v>46216</v>
      </c>
      <c r="F146" t="inlineStr">
        <is>
          <t>JÖNKÖPINGS LÄN</t>
        </is>
      </c>
      <c r="G146" t="inlineStr">
        <is>
          <t>TRANÅS</t>
        </is>
      </c>
      <c r="I146" t="n">
        <v>3.6</v>
      </c>
      <c r="J146" t="n">
        <v>0</v>
      </c>
      <c r="K146" t="n">
        <v>0</v>
      </c>
      <c r="L146" t="n">
        <v>0</v>
      </c>
      <c r="M146" t="n">
        <v>0</v>
      </c>
      <c r="N146" t="n">
        <v>0</v>
      </c>
      <c r="O146" t="n">
        <v>0</v>
      </c>
      <c r="P146" t="n">
        <v>0</v>
      </c>
      <c r="Q146" t="n">
        <v>0</v>
      </c>
      <c r="R146" t="n">
        <v>0</v>
      </c>
      <c r="S146" t="n">
        <v>0</v>
      </c>
      <c r="T146" t="n">
        <v>0</v>
      </c>
      <c r="U146" s="2" t="inlineStr"/>
    </row>
    <row r="147" ht="15" customHeight="1">
      <c r="A147" t="inlineStr">
        <is>
          <t>A 9800-2025</t>
        </is>
      </c>
      <c r="B147" t="inlineStr">
        <is>
          <t>avverkningsanmälan</t>
        </is>
      </c>
      <c r="C147" t="inlineStr">
        <is>
          <t>Föryngringsavverkning</t>
        </is>
      </c>
      <c r="D147" s="1" t="n">
        <v>45715</v>
      </c>
      <c r="E147" s="1" t="n">
        <v>46216</v>
      </c>
      <c r="F147" t="inlineStr">
        <is>
          <t>JÖNKÖPINGS LÄN</t>
        </is>
      </c>
      <c r="G147" t="inlineStr">
        <is>
          <t>TRANÅS</t>
        </is>
      </c>
      <c r="I147" t="n">
        <v>3.2</v>
      </c>
      <c r="J147" t="n">
        <v>0</v>
      </c>
      <c r="K147" t="n">
        <v>0</v>
      </c>
      <c r="L147" t="n">
        <v>0</v>
      </c>
      <c r="M147" t="n">
        <v>0</v>
      </c>
      <c r="N147" t="n">
        <v>0</v>
      </c>
      <c r="O147" t="n">
        <v>0</v>
      </c>
      <c r="P147" t="n">
        <v>0</v>
      </c>
      <c r="Q147" t="n">
        <v>0</v>
      </c>
      <c r="R147" t="n">
        <v>0</v>
      </c>
      <c r="S147" t="n">
        <v>0</v>
      </c>
      <c r="T147" t="n">
        <v>0</v>
      </c>
      <c r="U147" s="2" t="inlineStr"/>
    </row>
    <row r="148" ht="15" customHeight="1">
      <c r="A148" t="inlineStr">
        <is>
          <t>A 17571-2025</t>
        </is>
      </c>
      <c r="B148" t="inlineStr">
        <is>
          <t>avverkningsanmälan</t>
        </is>
      </c>
      <c r="C148" t="inlineStr">
        <is>
          <t>Föryngringsavverkning</t>
        </is>
      </c>
      <c r="D148" s="1" t="n">
        <v>45757</v>
      </c>
      <c r="E148" s="1" t="n">
        <v>46216</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7583-2023</t>
        </is>
      </c>
      <c r="B149" t="inlineStr">
        <is>
          <t>avverkningsanmälan</t>
        </is>
      </c>
      <c r="C149" t="inlineStr">
        <is>
          <t>Föryngringsavverkning</t>
        </is>
      </c>
      <c r="D149" s="1" t="n">
        <v>44972</v>
      </c>
      <c r="E149" s="1" t="n">
        <v>46216</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57648-2025</t>
        </is>
      </c>
      <c r="B150" t="inlineStr">
        <is>
          <t>avverkningsanmälan</t>
        </is>
      </c>
      <c r="C150" t="inlineStr">
        <is>
          <t>Avverkning för annat ändamål</t>
        </is>
      </c>
      <c r="D150" s="1" t="n">
        <v>45981</v>
      </c>
      <c r="E150" s="1" t="n">
        <v>46216</v>
      </c>
      <c r="F150" t="inlineStr">
        <is>
          <t>JÖNKÖPINGS LÄN</t>
        </is>
      </c>
      <c r="G150" t="inlineStr">
        <is>
          <t>TRANÅS</t>
        </is>
      </c>
      <c r="I150" t="n">
        <v>7.7</v>
      </c>
      <c r="J150" t="n">
        <v>0</v>
      </c>
      <c r="K150" t="n">
        <v>0</v>
      </c>
      <c r="L150" t="n">
        <v>0</v>
      </c>
      <c r="M150" t="n">
        <v>0</v>
      </c>
      <c r="N150" t="n">
        <v>0</v>
      </c>
      <c r="O150" t="n">
        <v>0</v>
      </c>
      <c r="P150" t="n">
        <v>0</v>
      </c>
      <c r="Q150" t="n">
        <v>0</v>
      </c>
      <c r="R150" t="n">
        <v>0</v>
      </c>
      <c r="S150" t="n">
        <v>0</v>
      </c>
      <c r="T150" t="n">
        <v>0</v>
      </c>
      <c r="U150" s="2" t="inlineStr"/>
    </row>
    <row r="151" ht="15" customHeight="1">
      <c r="A151" t="inlineStr">
        <is>
          <t>A 7578-2026</t>
        </is>
      </c>
      <c r="B151" t="inlineStr">
        <is>
          <t>avverkningsanmälan</t>
        </is>
      </c>
      <c r="C151" t="inlineStr">
        <is>
          <t>Föryngringsavverkning</t>
        </is>
      </c>
      <c r="D151" s="1" t="n">
        <v>46061</v>
      </c>
      <c r="E151" s="1" t="n">
        <v>46216</v>
      </c>
      <c r="F151" t="inlineStr">
        <is>
          <t>JÖNKÖPINGS LÄN</t>
        </is>
      </c>
      <c r="G151" t="inlineStr">
        <is>
          <t>TRANÅS</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22404-2023</t>
        </is>
      </c>
      <c r="B152" t="inlineStr">
        <is>
          <t>avverkningsanmälan</t>
        </is>
      </c>
      <c r="C152" t="inlineStr">
        <is>
          <t>Föryngringsavverkning</t>
        </is>
      </c>
      <c r="D152" s="1" t="n">
        <v>45070</v>
      </c>
      <c r="E152" s="1" t="n">
        <v>46216</v>
      </c>
      <c r="F152" t="inlineStr">
        <is>
          <t>JÖNKÖPINGS LÄN</t>
        </is>
      </c>
      <c r="G152" t="inlineStr">
        <is>
          <t>TRANÅS</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23984-2023</t>
        </is>
      </c>
      <c r="B153" t="inlineStr">
        <is>
          <t>avverkningsanmälan</t>
        </is>
      </c>
      <c r="C153" t="inlineStr">
        <is>
          <t>Föryngringsavverkning</t>
        </is>
      </c>
      <c r="D153" s="1" t="n">
        <v>45078</v>
      </c>
      <c r="E153" s="1" t="n">
        <v>46216</v>
      </c>
      <c r="F153" t="inlineStr">
        <is>
          <t>JÖNKÖPINGS LÄN</t>
        </is>
      </c>
      <c r="G153" t="inlineStr">
        <is>
          <t>TRANÅS</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59272-2025</t>
        </is>
      </c>
      <c r="B154" t="inlineStr">
        <is>
          <t>avverkningsanmälan</t>
        </is>
      </c>
      <c r="C154" t="inlineStr">
        <is>
          <t>Föryngringsavverkning</t>
        </is>
      </c>
      <c r="D154" s="1" t="n">
        <v>45988</v>
      </c>
      <c r="E154" s="1" t="n">
        <v>46216</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8442-2026</t>
        </is>
      </c>
      <c r="B155" t="inlineStr">
        <is>
          <t>avverkningsanmälan</t>
        </is>
      </c>
      <c r="C155" t="inlineStr">
        <is>
          <t>Föryngringsavverkning</t>
        </is>
      </c>
      <c r="D155" s="1" t="n">
        <v>46065</v>
      </c>
      <c r="E155" s="1" t="n">
        <v>46216</v>
      </c>
      <c r="F155" t="inlineStr">
        <is>
          <t>JÖNKÖPINGS LÄN</t>
        </is>
      </c>
      <c r="G155" t="inlineStr">
        <is>
          <t>TRANÅS</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8446-2026</t>
        </is>
      </c>
      <c r="B156" t="inlineStr">
        <is>
          <t>avverkningsanmälan</t>
        </is>
      </c>
      <c r="C156" t="inlineStr">
        <is>
          <t>Föryngringsavverkning</t>
        </is>
      </c>
      <c r="D156" s="1" t="n">
        <v>46065</v>
      </c>
      <c r="E156" s="1" t="n">
        <v>46216</v>
      </c>
      <c r="F156" t="inlineStr">
        <is>
          <t>JÖNKÖPINGS LÄN</t>
        </is>
      </c>
      <c r="G156" t="inlineStr">
        <is>
          <t>TRANÅS</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8434-2026</t>
        </is>
      </c>
      <c r="B157" t="inlineStr">
        <is>
          <t>avverkningsanmälan</t>
        </is>
      </c>
      <c r="C157" t="inlineStr">
        <is>
          <t>Föryngringsavverkning</t>
        </is>
      </c>
      <c r="D157" s="1" t="n">
        <v>46065</v>
      </c>
      <c r="E157" s="1" t="n">
        <v>46216</v>
      </c>
      <c r="F157" t="inlineStr">
        <is>
          <t>JÖNKÖPINGS LÄN</t>
        </is>
      </c>
      <c r="G157" t="inlineStr">
        <is>
          <t>TRANÅS</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8418-2026</t>
        </is>
      </c>
      <c r="B158" t="inlineStr">
        <is>
          <t>avverkningsanmälan</t>
        </is>
      </c>
      <c r="C158" t="inlineStr">
        <is>
          <t>Föryngringsavverkning</t>
        </is>
      </c>
      <c r="D158" s="1" t="n">
        <v>46065</v>
      </c>
      <c r="E158" s="1" t="n">
        <v>46216</v>
      </c>
      <c r="F158" t="inlineStr">
        <is>
          <t>JÖNKÖPINGS LÄN</t>
        </is>
      </c>
      <c r="G158" t="inlineStr">
        <is>
          <t>TRANÅS</t>
        </is>
      </c>
      <c r="H158" t="inlineStr">
        <is>
          <t>Kyrkan</t>
        </is>
      </c>
      <c r="I158" t="n">
        <v>8.4</v>
      </c>
      <c r="J158" t="n">
        <v>0</v>
      </c>
      <c r="K158" t="n">
        <v>0</v>
      </c>
      <c r="L158" t="n">
        <v>0</v>
      </c>
      <c r="M158" t="n">
        <v>0</v>
      </c>
      <c r="N158" t="n">
        <v>0</v>
      </c>
      <c r="O158" t="n">
        <v>0</v>
      </c>
      <c r="P158" t="n">
        <v>0</v>
      </c>
      <c r="Q158" t="n">
        <v>0</v>
      </c>
      <c r="R158" t="n">
        <v>0</v>
      </c>
      <c r="S158" t="n">
        <v>0</v>
      </c>
      <c r="T158" t="n">
        <v>0</v>
      </c>
      <c r="U158" s="2" t="inlineStr"/>
    </row>
    <row r="159" ht="15" customHeight="1">
      <c r="A159" t="inlineStr">
        <is>
          <t>A 8313-2026</t>
        </is>
      </c>
      <c r="B159" t="inlineStr">
        <is>
          <t>avverkningsanmälan</t>
        </is>
      </c>
      <c r="C159" t="inlineStr">
        <is>
          <t>Föryngringsavverkning</t>
        </is>
      </c>
      <c r="D159" s="1" t="n">
        <v>46064</v>
      </c>
      <c r="E159" s="1" t="n">
        <v>46216</v>
      </c>
      <c r="F159" t="inlineStr">
        <is>
          <t>JÖNKÖPINGS LÄN</t>
        </is>
      </c>
      <c r="G159" t="inlineStr">
        <is>
          <t>TRANÅS</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8820-2026</t>
        </is>
      </c>
      <c r="B160" t="inlineStr">
        <is>
          <t>avverkningsanmälan</t>
        </is>
      </c>
      <c r="C160" t="inlineStr">
        <is>
          <t>Avverkning för annat ändamål</t>
        </is>
      </c>
      <c r="D160" s="1" t="n">
        <v>46066</v>
      </c>
      <c r="E160" s="1" t="n">
        <v>46216</v>
      </c>
      <c r="F160" t="inlineStr">
        <is>
          <t>JÖNKÖPINGS LÄN</t>
        </is>
      </c>
      <c r="G160" t="inlineStr">
        <is>
          <t>TRANÅS</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5066-2025</t>
        </is>
      </c>
      <c r="B161" t="inlineStr">
        <is>
          <t>avverkningsanmälan</t>
        </is>
      </c>
      <c r="C161" t="inlineStr">
        <is>
          <t>Föryngringsavverkning</t>
        </is>
      </c>
      <c r="D161" s="1" t="n">
        <v>45691</v>
      </c>
      <c r="E161" s="1" t="n">
        <v>46216</v>
      </c>
      <c r="F161" t="inlineStr">
        <is>
          <t>JÖNKÖPINGS LÄN</t>
        </is>
      </c>
      <c r="G161" t="inlineStr">
        <is>
          <t>TRANÅS</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8351-2023</t>
        </is>
      </c>
      <c r="B162" t="inlineStr">
        <is>
          <t>avverkningsanmälan</t>
        </is>
      </c>
      <c r="C162" t="inlineStr">
        <is>
          <t>Föryngringsavverkning</t>
        </is>
      </c>
      <c r="D162" s="1" t="n">
        <v>44977</v>
      </c>
      <c r="E162" s="1" t="n">
        <v>46216</v>
      </c>
      <c r="F162" t="inlineStr">
        <is>
          <t>JÖNKÖPINGS LÄN</t>
        </is>
      </c>
      <c r="G162" t="inlineStr">
        <is>
          <t>TRANÅS</t>
        </is>
      </c>
      <c r="I162" t="n">
        <v>5.6</v>
      </c>
      <c r="J162" t="n">
        <v>0</v>
      </c>
      <c r="K162" t="n">
        <v>0</v>
      </c>
      <c r="L162" t="n">
        <v>0</v>
      </c>
      <c r="M162" t="n">
        <v>0</v>
      </c>
      <c r="N162" t="n">
        <v>0</v>
      </c>
      <c r="O162" t="n">
        <v>0</v>
      </c>
      <c r="P162" t="n">
        <v>0</v>
      </c>
      <c r="Q162" t="n">
        <v>0</v>
      </c>
      <c r="R162" t="n">
        <v>0</v>
      </c>
      <c r="S162" t="n">
        <v>0</v>
      </c>
      <c r="T162" t="n">
        <v>0</v>
      </c>
      <c r="U162" s="2" t="inlineStr"/>
    </row>
    <row r="163" ht="15" customHeight="1">
      <c r="A163" t="inlineStr">
        <is>
          <t>A 6919-2023</t>
        </is>
      </c>
      <c r="B163" t="inlineStr">
        <is>
          <t>avverkningsanmälan</t>
        </is>
      </c>
      <c r="C163" t="inlineStr">
        <is>
          <t>Föryngringsavverkning</t>
        </is>
      </c>
      <c r="D163" s="1" t="n">
        <v>44967</v>
      </c>
      <c r="E163" s="1" t="n">
        <v>46216</v>
      </c>
      <c r="F163" t="inlineStr">
        <is>
          <t>JÖNKÖPINGS LÄN</t>
        </is>
      </c>
      <c r="G163" t="inlineStr">
        <is>
          <t>TRANÅS</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7333-2024</t>
        </is>
      </c>
      <c r="B164" t="inlineStr">
        <is>
          <t>avverkningsanmälan</t>
        </is>
      </c>
      <c r="C164" t="inlineStr">
        <is>
          <t>Föryngringsavverkning</t>
        </is>
      </c>
      <c r="D164" s="1" t="n">
        <v>45345</v>
      </c>
      <c r="E164" s="1" t="n">
        <v>46216</v>
      </c>
      <c r="F164" t="inlineStr">
        <is>
          <t>JÖNKÖPINGS LÄN</t>
        </is>
      </c>
      <c r="G164" t="inlineStr">
        <is>
          <t>TRANÅS</t>
        </is>
      </c>
      <c r="H164" t="inlineStr">
        <is>
          <t>Allmännings- och besparingsskogar</t>
        </is>
      </c>
      <c r="I164" t="n">
        <v>2.4</v>
      </c>
      <c r="J164" t="n">
        <v>0</v>
      </c>
      <c r="K164" t="n">
        <v>0</v>
      </c>
      <c r="L164" t="n">
        <v>0</v>
      </c>
      <c r="M164" t="n">
        <v>0</v>
      </c>
      <c r="N164" t="n">
        <v>0</v>
      </c>
      <c r="O164" t="n">
        <v>0</v>
      </c>
      <c r="P164" t="n">
        <v>0</v>
      </c>
      <c r="Q164" t="n">
        <v>0</v>
      </c>
      <c r="R164" t="n">
        <v>0</v>
      </c>
      <c r="S164" t="n">
        <v>0</v>
      </c>
      <c r="T164" t="n">
        <v>0</v>
      </c>
      <c r="U164" s="2" t="inlineStr"/>
    </row>
    <row r="165" ht="15" customHeight="1">
      <c r="A165" t="inlineStr">
        <is>
          <t>A 2379-2023</t>
        </is>
      </c>
      <c r="B165" t="inlineStr">
        <is>
          <t>avverkningsanmälan</t>
        </is>
      </c>
      <c r="C165" t="inlineStr">
        <is>
          <t>Föryngringsavverkning</t>
        </is>
      </c>
      <c r="D165" s="1" t="n">
        <v>44942</v>
      </c>
      <c r="E165" s="1" t="n">
        <v>46216</v>
      </c>
      <c r="F165" t="inlineStr">
        <is>
          <t>JÖNKÖPINGS LÄN</t>
        </is>
      </c>
      <c r="G165" t="inlineStr">
        <is>
          <t>TRANÅS</t>
        </is>
      </c>
      <c r="H165" t="inlineStr">
        <is>
          <t>Kommuner</t>
        </is>
      </c>
      <c r="I165" t="n">
        <v>5.7</v>
      </c>
      <c r="J165" t="n">
        <v>0</v>
      </c>
      <c r="K165" t="n">
        <v>0</v>
      </c>
      <c r="L165" t="n">
        <v>0</v>
      </c>
      <c r="M165" t="n">
        <v>0</v>
      </c>
      <c r="N165" t="n">
        <v>0</v>
      </c>
      <c r="O165" t="n">
        <v>0</v>
      </c>
      <c r="P165" t="n">
        <v>0</v>
      </c>
      <c r="Q165" t="n">
        <v>0</v>
      </c>
      <c r="R165" t="n">
        <v>0</v>
      </c>
      <c r="S165" t="n">
        <v>0</v>
      </c>
      <c r="T165" t="n">
        <v>0</v>
      </c>
      <c r="U165" s="2" t="inlineStr"/>
    </row>
    <row r="166" ht="15" customHeight="1">
      <c r="A166" t="inlineStr">
        <is>
          <t>A 62867-2025</t>
        </is>
      </c>
      <c r="B166" t="inlineStr">
        <is>
          <t>avverkningsanmälan</t>
        </is>
      </c>
      <c r="C166" t="inlineStr">
        <is>
          <t>Föryngringsavverkning</t>
        </is>
      </c>
      <c r="D166" s="1" t="n">
        <v>46008</v>
      </c>
      <c r="E166" s="1" t="n">
        <v>46216</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55973-2025</t>
        </is>
      </c>
      <c r="B167" t="inlineStr">
        <is>
          <t>avverkningsanmälan</t>
        </is>
      </c>
      <c r="C167" t="inlineStr">
        <is>
          <t>Avverkning för annat ändamål</t>
        </is>
      </c>
      <c r="D167" s="1" t="n">
        <v>45973</v>
      </c>
      <c r="E167" s="1" t="n">
        <v>46216</v>
      </c>
      <c r="F167" t="inlineStr">
        <is>
          <t>JÖNKÖPINGS LÄN</t>
        </is>
      </c>
      <c r="G167" t="inlineStr">
        <is>
          <t>TRANÅS</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40442-2022</t>
        </is>
      </c>
      <c r="B168" t="inlineStr">
        <is>
          <t>avverkningsanmälan</t>
        </is>
      </c>
      <c r="C168" t="inlineStr">
        <is>
          <t>Föryngringsavverkning</t>
        </is>
      </c>
      <c r="D168" s="1" t="n">
        <v>44823</v>
      </c>
      <c r="E168" s="1" t="n">
        <v>46216</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45787-2023</t>
        </is>
      </c>
      <c r="B169" t="inlineStr">
        <is>
          <t>avverkningsanmälan</t>
        </is>
      </c>
      <c r="C169" t="inlineStr">
        <is>
          <t>Föryngringsavverkning</t>
        </is>
      </c>
      <c r="D169" s="1" t="n">
        <v>45195</v>
      </c>
      <c r="E169" s="1" t="n">
        <v>46216</v>
      </c>
      <c r="F169" t="inlineStr">
        <is>
          <t>JÖNKÖPINGS LÄN</t>
        </is>
      </c>
      <c r="G169" t="inlineStr">
        <is>
          <t>TRANÅS</t>
        </is>
      </c>
      <c r="I169" t="n">
        <v>9.300000000000001</v>
      </c>
      <c r="J169" t="n">
        <v>0</v>
      </c>
      <c r="K169" t="n">
        <v>0</v>
      </c>
      <c r="L169" t="n">
        <v>0</v>
      </c>
      <c r="M169" t="n">
        <v>0</v>
      </c>
      <c r="N169" t="n">
        <v>0</v>
      </c>
      <c r="O169" t="n">
        <v>0</v>
      </c>
      <c r="P169" t="n">
        <v>0</v>
      </c>
      <c r="Q169" t="n">
        <v>0</v>
      </c>
      <c r="R169" t="n">
        <v>0</v>
      </c>
      <c r="S169" t="n">
        <v>0</v>
      </c>
      <c r="T169" t="n">
        <v>0</v>
      </c>
      <c r="U169" s="2" t="inlineStr"/>
    </row>
    <row r="170" ht="15" customHeight="1">
      <c r="A170" t="inlineStr">
        <is>
          <t>A 57983-2024</t>
        </is>
      </c>
      <c r="B170" t="inlineStr">
        <is>
          <t>avverkningsanmälan</t>
        </is>
      </c>
      <c r="C170" t="inlineStr">
        <is>
          <t>Föryngringsavverkning</t>
        </is>
      </c>
      <c r="D170" s="1" t="n">
        <v>45631</v>
      </c>
      <c r="E170" s="1" t="n">
        <v>46216</v>
      </c>
      <c r="F170" t="inlineStr">
        <is>
          <t>JÖNKÖPINGS LÄN</t>
        </is>
      </c>
      <c r="G170" t="inlineStr">
        <is>
          <t>TRANÅS</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17964-2024</t>
        </is>
      </c>
      <c r="B171" t="inlineStr">
        <is>
          <t>avverkningsanmälan</t>
        </is>
      </c>
      <c r="C171" t="inlineStr">
        <is>
          <t>Avverkning för annat ändamål</t>
        </is>
      </c>
      <c r="D171" s="1" t="n">
        <v>45419</v>
      </c>
      <c r="E171" s="1" t="n">
        <v>46216</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1714-2024</t>
        </is>
      </c>
      <c r="B172" t="inlineStr">
        <is>
          <t>avverkningsanmälan</t>
        </is>
      </c>
      <c r="C172" t="inlineStr">
        <is>
          <t>Föryngringsavverkning</t>
        </is>
      </c>
      <c r="D172" s="1" t="n">
        <v>45307</v>
      </c>
      <c r="E172" s="1" t="n">
        <v>46216</v>
      </c>
      <c r="F172" t="inlineStr">
        <is>
          <t>JÖNKÖPINGS LÄN</t>
        </is>
      </c>
      <c r="G172" t="inlineStr">
        <is>
          <t>TRANÅS</t>
        </is>
      </c>
      <c r="H172" t="inlineStr">
        <is>
          <t>Kommuner</t>
        </is>
      </c>
      <c r="I172" t="n">
        <v>5.2</v>
      </c>
      <c r="J172" t="n">
        <v>0</v>
      </c>
      <c r="K172" t="n">
        <v>0</v>
      </c>
      <c r="L172" t="n">
        <v>0</v>
      </c>
      <c r="M172" t="n">
        <v>0</v>
      </c>
      <c r="N172" t="n">
        <v>0</v>
      </c>
      <c r="O172" t="n">
        <v>0</v>
      </c>
      <c r="P172" t="n">
        <v>0</v>
      </c>
      <c r="Q172" t="n">
        <v>0</v>
      </c>
      <c r="R172" t="n">
        <v>0</v>
      </c>
      <c r="S172" t="n">
        <v>0</v>
      </c>
      <c r="T172" t="n">
        <v>0</v>
      </c>
      <c r="U172" s="2" t="inlineStr"/>
    </row>
    <row r="173" ht="15" customHeight="1">
      <c r="A173" t="inlineStr">
        <is>
          <t>A 36215-2022</t>
        </is>
      </c>
      <c r="B173" t="inlineStr">
        <is>
          <t>avverkningsanmälan</t>
        </is>
      </c>
      <c r="C173" t="inlineStr">
        <is>
          <t>Föryngringsavverkning</t>
        </is>
      </c>
      <c r="D173" s="1" t="n">
        <v>44803</v>
      </c>
      <c r="E173" s="1" t="n">
        <v>46216</v>
      </c>
      <c r="F173" t="inlineStr">
        <is>
          <t>JÖNKÖPINGS LÄN</t>
        </is>
      </c>
      <c r="G173" t="inlineStr">
        <is>
          <t>TRANÅS</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8348-2023</t>
        </is>
      </c>
      <c r="B174" t="inlineStr">
        <is>
          <t>avverkningsanmälan</t>
        </is>
      </c>
      <c r="C174" t="inlineStr">
        <is>
          <t>Föryngringsavverkning</t>
        </is>
      </c>
      <c r="D174" s="1" t="n">
        <v>44977</v>
      </c>
      <c r="E174" s="1" t="n">
        <v>46216</v>
      </c>
      <c r="F174" t="inlineStr">
        <is>
          <t>JÖNKÖPINGS LÄN</t>
        </is>
      </c>
      <c r="G174" t="inlineStr">
        <is>
          <t>TRANÅS</t>
        </is>
      </c>
      <c r="I174" t="n">
        <v>2.1</v>
      </c>
      <c r="J174" t="n">
        <v>0</v>
      </c>
      <c r="K174" t="n">
        <v>0</v>
      </c>
      <c r="L174" t="n">
        <v>0</v>
      </c>
      <c r="M174" t="n">
        <v>0</v>
      </c>
      <c r="N174" t="n">
        <v>0</v>
      </c>
      <c r="O174" t="n">
        <v>0</v>
      </c>
      <c r="P174" t="n">
        <v>0</v>
      </c>
      <c r="Q174" t="n">
        <v>0</v>
      </c>
      <c r="R174" t="n">
        <v>0</v>
      </c>
      <c r="S174" t="n">
        <v>0</v>
      </c>
      <c r="T174" t="n">
        <v>0</v>
      </c>
      <c r="U174" s="2" t="inlineStr"/>
    </row>
    <row r="175" ht="15" customHeight="1">
      <c r="A175" t="inlineStr">
        <is>
          <t>A 61017-2024</t>
        </is>
      </c>
      <c r="B175" t="inlineStr">
        <is>
          <t>avverkningsanmälan</t>
        </is>
      </c>
      <c r="C175" t="inlineStr">
        <is>
          <t>Föryngringsavverkning</t>
        </is>
      </c>
      <c r="D175" s="1" t="n">
        <v>45644</v>
      </c>
      <c r="E175" s="1" t="n">
        <v>46216</v>
      </c>
      <c r="F175" t="inlineStr">
        <is>
          <t>JÖNKÖPINGS LÄN</t>
        </is>
      </c>
      <c r="G175" t="inlineStr">
        <is>
          <t>TRANÅS</t>
        </is>
      </c>
      <c r="I175" t="n">
        <v>12.1</v>
      </c>
      <c r="J175" t="n">
        <v>0</v>
      </c>
      <c r="K175" t="n">
        <v>0</v>
      </c>
      <c r="L175" t="n">
        <v>0</v>
      </c>
      <c r="M175" t="n">
        <v>0</v>
      </c>
      <c r="N175" t="n">
        <v>0</v>
      </c>
      <c r="O175" t="n">
        <v>0</v>
      </c>
      <c r="P175" t="n">
        <v>0</v>
      </c>
      <c r="Q175" t="n">
        <v>0</v>
      </c>
      <c r="R175" t="n">
        <v>0</v>
      </c>
      <c r="S175" t="n">
        <v>0</v>
      </c>
      <c r="T175" t="n">
        <v>0</v>
      </c>
      <c r="U175" s="2" t="inlineStr"/>
    </row>
    <row r="176" ht="15" customHeight="1">
      <c r="A176" t="inlineStr">
        <is>
          <t>A 13643-2026</t>
        </is>
      </c>
      <c r="B176" t="inlineStr">
        <is>
          <t>avverkningsanmälan</t>
        </is>
      </c>
      <c r="C176" t="inlineStr">
        <is>
          <t>Avverkning för annat ändamål</t>
        </is>
      </c>
      <c r="D176" s="1" t="n">
        <v>46097</v>
      </c>
      <c r="E176" s="1" t="n">
        <v>46216</v>
      </c>
      <c r="F176" t="inlineStr">
        <is>
          <t>JÖNKÖPINGS LÄN</t>
        </is>
      </c>
      <c r="G176" t="inlineStr">
        <is>
          <t>TRANÅS</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16153-2023</t>
        </is>
      </c>
      <c r="B177" t="inlineStr">
        <is>
          <t>avverkningsanmälan</t>
        </is>
      </c>
      <c r="C177" t="inlineStr">
        <is>
          <t>Föryngringsavverkning</t>
        </is>
      </c>
      <c r="D177" s="1" t="n">
        <v>45027</v>
      </c>
      <c r="E177" s="1" t="n">
        <v>46216</v>
      </c>
      <c r="F177" t="inlineStr">
        <is>
          <t>JÖNKÖPINGS LÄN</t>
        </is>
      </c>
      <c r="G177" t="inlineStr">
        <is>
          <t>TRANÅS</t>
        </is>
      </c>
      <c r="H177" t="inlineStr">
        <is>
          <t>Allmännings- och besparingsskogar</t>
        </is>
      </c>
      <c r="I177" t="n">
        <v>14.5</v>
      </c>
      <c r="J177" t="n">
        <v>0</v>
      </c>
      <c r="K177" t="n">
        <v>0</v>
      </c>
      <c r="L177" t="n">
        <v>0</v>
      </c>
      <c r="M177" t="n">
        <v>0</v>
      </c>
      <c r="N177" t="n">
        <v>0</v>
      </c>
      <c r="O177" t="n">
        <v>0</v>
      </c>
      <c r="P177" t="n">
        <v>0</v>
      </c>
      <c r="Q177" t="n">
        <v>0</v>
      </c>
      <c r="R177" t="n">
        <v>0</v>
      </c>
      <c r="S177" t="n">
        <v>0</v>
      </c>
      <c r="T177" t="n">
        <v>0</v>
      </c>
      <c r="U177" s="2" t="inlineStr"/>
    </row>
    <row r="178" ht="15" customHeight="1">
      <c r="A178" t="inlineStr">
        <is>
          <t>A 14278-2026</t>
        </is>
      </c>
      <c r="B178" t="inlineStr">
        <is>
          <t>avverkningsanmälan</t>
        </is>
      </c>
      <c r="C178" t="inlineStr">
        <is>
          <t>Föryngringsavverkning</t>
        </is>
      </c>
      <c r="D178" s="1" t="n">
        <v>46099</v>
      </c>
      <c r="E178" s="1" t="n">
        <v>46216</v>
      </c>
      <c r="F178" t="inlineStr">
        <is>
          <t>JÖNKÖPINGS LÄN</t>
        </is>
      </c>
      <c r="G178" t="inlineStr">
        <is>
          <t>TRANÅS</t>
        </is>
      </c>
      <c r="I178" t="n">
        <v>5.9</v>
      </c>
      <c r="J178" t="n">
        <v>0</v>
      </c>
      <c r="K178" t="n">
        <v>0</v>
      </c>
      <c r="L178" t="n">
        <v>0</v>
      </c>
      <c r="M178" t="n">
        <v>0</v>
      </c>
      <c r="N178" t="n">
        <v>0</v>
      </c>
      <c r="O178" t="n">
        <v>0</v>
      </c>
      <c r="P178" t="n">
        <v>0</v>
      </c>
      <c r="Q178" t="n">
        <v>0</v>
      </c>
      <c r="R178" t="n">
        <v>0</v>
      </c>
      <c r="S178" t="n">
        <v>0</v>
      </c>
      <c r="T178" t="n">
        <v>0</v>
      </c>
      <c r="U178" s="2" t="inlineStr"/>
    </row>
    <row r="179" ht="15" customHeight="1">
      <c r="A179" t="inlineStr">
        <is>
          <t>A 14287-2026</t>
        </is>
      </c>
      <c r="B179" t="inlineStr">
        <is>
          <t>avverkningsanmälan</t>
        </is>
      </c>
      <c r="C179" t="inlineStr">
        <is>
          <t>Föryngringsavverkning</t>
        </is>
      </c>
      <c r="D179" s="1" t="n">
        <v>46099</v>
      </c>
      <c r="E179" s="1" t="n">
        <v>46216</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14290-2026</t>
        </is>
      </c>
      <c r="B180" t="inlineStr">
        <is>
          <t>avverkningsanmälan</t>
        </is>
      </c>
      <c r="C180" t="inlineStr">
        <is>
          <t>Föryngringsavverkning</t>
        </is>
      </c>
      <c r="D180" s="1" t="n">
        <v>46099</v>
      </c>
      <c r="E180" s="1" t="n">
        <v>46216</v>
      </c>
      <c r="F180" t="inlineStr">
        <is>
          <t>JÖNKÖPINGS LÄN</t>
        </is>
      </c>
      <c r="G180" t="inlineStr">
        <is>
          <t>TRANÅS</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29130-2023</t>
        </is>
      </c>
      <c r="B181" t="inlineStr">
        <is>
          <t>avverkningsanmälan</t>
        </is>
      </c>
      <c r="C181" t="inlineStr">
        <is>
          <t>Föryngringsavverkning</t>
        </is>
      </c>
      <c r="D181" s="1" t="n">
        <v>45105</v>
      </c>
      <c r="E181" s="1" t="n">
        <v>46216</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15838-2026</t>
        </is>
      </c>
      <c r="B182" t="inlineStr">
        <is>
          <t>avverkningsanmälan</t>
        </is>
      </c>
      <c r="C182" t="inlineStr">
        <is>
          <t>Föryngringsavverkning</t>
        </is>
      </c>
      <c r="D182" s="1" t="n">
        <v>46107</v>
      </c>
      <c r="E182" s="1" t="n">
        <v>46216</v>
      </c>
      <c r="F182" t="inlineStr">
        <is>
          <t>JÖNKÖPINGS LÄN</t>
        </is>
      </c>
      <c r="G182" t="inlineStr">
        <is>
          <t>TRANÅS</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52714-2024</t>
        </is>
      </c>
      <c r="B183" t="inlineStr">
        <is>
          <t>avverkningsanmälan</t>
        </is>
      </c>
      <c r="C183" t="inlineStr">
        <is>
          <t>Föryngringsavverkning</t>
        </is>
      </c>
      <c r="D183" s="1" t="n">
        <v>45610</v>
      </c>
      <c r="E183" s="1" t="n">
        <v>46216</v>
      </c>
      <c r="F183" t="inlineStr">
        <is>
          <t>JÖNKÖPINGS LÄN</t>
        </is>
      </c>
      <c r="G183" t="inlineStr">
        <is>
          <t>TRANÅS</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18173-2023</t>
        </is>
      </c>
      <c r="B184" t="inlineStr">
        <is>
          <t>avverkningsanmälan</t>
        </is>
      </c>
      <c r="C184" t="inlineStr">
        <is>
          <t>Föryngringsavverkning</t>
        </is>
      </c>
      <c r="D184" s="1" t="n">
        <v>45040</v>
      </c>
      <c r="E184" s="1" t="n">
        <v>46216</v>
      </c>
      <c r="F184" t="inlineStr">
        <is>
          <t>JÖNKÖPINGS LÄN</t>
        </is>
      </c>
      <c r="G184" t="inlineStr">
        <is>
          <t>TRANÅS</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5995-2024</t>
        </is>
      </c>
      <c r="B185" t="inlineStr">
        <is>
          <t>avverkningsanmälan</t>
        </is>
      </c>
      <c r="C185" t="inlineStr">
        <is>
          <t>Föryngringsavverkning</t>
        </is>
      </c>
      <c r="D185" s="1" t="n">
        <v>45336</v>
      </c>
      <c r="E185" s="1" t="n">
        <v>46216</v>
      </c>
      <c r="F185" t="inlineStr">
        <is>
          <t>JÖNKÖPINGS LÄN</t>
        </is>
      </c>
      <c r="G185" t="inlineStr">
        <is>
          <t>TRANÅS</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73249-2021</t>
        </is>
      </c>
      <c r="B186" t="inlineStr">
        <is>
          <t>avverkningsanmälan</t>
        </is>
      </c>
      <c r="C186" t="inlineStr">
        <is>
          <t>Föryngringsavverkning</t>
        </is>
      </c>
      <c r="D186" s="1" t="n">
        <v>44550</v>
      </c>
      <c r="E186" s="1" t="n">
        <v>46216</v>
      </c>
      <c r="F186" t="inlineStr">
        <is>
          <t>JÖNKÖPINGS LÄN</t>
        </is>
      </c>
      <c r="G186" t="inlineStr">
        <is>
          <t>TRANÅS</t>
        </is>
      </c>
      <c r="I186" t="n">
        <v>4.5</v>
      </c>
      <c r="J186" t="n">
        <v>0</v>
      </c>
      <c r="K186" t="n">
        <v>0</v>
      </c>
      <c r="L186" t="n">
        <v>0</v>
      </c>
      <c r="M186" t="n">
        <v>0</v>
      </c>
      <c r="N186" t="n">
        <v>0</v>
      </c>
      <c r="O186" t="n">
        <v>0</v>
      </c>
      <c r="P186" t="n">
        <v>0</v>
      </c>
      <c r="Q186" t="n">
        <v>0</v>
      </c>
      <c r="R186" t="n">
        <v>0</v>
      </c>
      <c r="S186" t="n">
        <v>0</v>
      </c>
      <c r="T186" t="n">
        <v>0</v>
      </c>
      <c r="U186" s="2" t="inlineStr"/>
    </row>
    <row r="187" ht="15" customHeight="1">
      <c r="A187" t="inlineStr">
        <is>
          <t>A 9229-2025</t>
        </is>
      </c>
      <c r="B187" t="inlineStr">
        <is>
          <t>avverkningsanmälan</t>
        </is>
      </c>
      <c r="C187" t="inlineStr">
        <is>
          <t>Föryngringsavverkning</t>
        </is>
      </c>
      <c r="D187" s="1" t="n">
        <v>45713</v>
      </c>
      <c r="E187" s="1" t="n">
        <v>46216</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3711-2024</t>
        </is>
      </c>
      <c r="B188" t="inlineStr">
        <is>
          <t>avverkningsanmälan</t>
        </is>
      </c>
      <c r="C188" t="inlineStr">
        <is>
          <t>Föryngringsavverkning</t>
        </is>
      </c>
      <c r="D188" s="1" t="n">
        <v>45321</v>
      </c>
      <c r="E188" s="1" t="n">
        <v>46216</v>
      </c>
      <c r="F188" t="inlineStr">
        <is>
          <t>JÖNKÖPINGS LÄN</t>
        </is>
      </c>
      <c r="G188" t="inlineStr">
        <is>
          <t>TRANÅS</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4702-2023</t>
        </is>
      </c>
      <c r="B189" t="inlineStr">
        <is>
          <t>avverkningsanmälan</t>
        </is>
      </c>
      <c r="C189" t="inlineStr">
        <is>
          <t>Föryngringsavverkning</t>
        </is>
      </c>
      <c r="D189" s="1" t="n">
        <v>44953</v>
      </c>
      <c r="E189" s="1" t="n">
        <v>46216</v>
      </c>
      <c r="F189" t="inlineStr">
        <is>
          <t>JÖNKÖPINGS LÄN</t>
        </is>
      </c>
      <c r="G189" t="inlineStr">
        <is>
          <t>TRANÅS</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25090-2026</t>
        </is>
      </c>
      <c r="B190" t="inlineStr">
        <is>
          <t>avverkningsanmälan</t>
        </is>
      </c>
      <c r="C190" t="inlineStr">
        <is>
          <t>Föryngringsavverkning</t>
        </is>
      </c>
      <c r="D190" s="1" t="n">
        <v>46175</v>
      </c>
      <c r="E190" s="1" t="n">
        <v>46216</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36105-2024</t>
        </is>
      </c>
      <c r="B191" t="inlineStr">
        <is>
          <t>avverkningsanmälan</t>
        </is>
      </c>
      <c r="C191" t="inlineStr">
        <is>
          <t>Föryngringsavverkning</t>
        </is>
      </c>
      <c r="D191" s="1" t="n">
        <v>45533</v>
      </c>
      <c r="E191" s="1" t="n">
        <v>46216</v>
      </c>
      <c r="F191" t="inlineStr">
        <is>
          <t>JÖNKÖPINGS LÄN</t>
        </is>
      </c>
      <c r="G191" t="inlineStr">
        <is>
          <t>TRANÅS</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19853-2026</t>
        </is>
      </c>
      <c r="B192" t="inlineStr">
        <is>
          <t>avverkningsanmälan</t>
        </is>
      </c>
      <c r="C192" t="inlineStr">
        <is>
          <t>Föryngringsavverkning</t>
        </is>
      </c>
      <c r="D192" s="1" t="n">
        <v>46135</v>
      </c>
      <c r="E192" s="1" t="n">
        <v>46216</v>
      </c>
      <c r="F192" t="inlineStr">
        <is>
          <t>JÖNKÖPINGS LÄN</t>
        </is>
      </c>
      <c r="G192" t="inlineStr">
        <is>
          <t>TRANÅS</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49958-2022</t>
        </is>
      </c>
      <c r="B193" t="inlineStr">
        <is>
          <t>avverkningsanmälan</t>
        </is>
      </c>
      <c r="C193" t="inlineStr">
        <is>
          <t>Föryngringsavverkning</t>
        </is>
      </c>
      <c r="D193" s="1" t="n">
        <v>44865</v>
      </c>
      <c r="E193" s="1" t="n">
        <v>46216</v>
      </c>
      <c r="F193" t="inlineStr">
        <is>
          <t>JÖNKÖPINGS LÄN</t>
        </is>
      </c>
      <c r="G193" t="inlineStr">
        <is>
          <t>TRANÅS</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57130-2022</t>
        </is>
      </c>
      <c r="B194" t="inlineStr">
        <is>
          <t>avverkningsanmälan</t>
        </is>
      </c>
      <c r="C194" t="inlineStr">
        <is>
          <t>Föryngringsavverkning</t>
        </is>
      </c>
      <c r="D194" s="1" t="n">
        <v>44895</v>
      </c>
      <c r="E194" s="1" t="n">
        <v>46216</v>
      </c>
      <c r="F194" t="inlineStr">
        <is>
          <t>JÖNKÖPINGS LÄN</t>
        </is>
      </c>
      <c r="G194" t="inlineStr">
        <is>
          <t>TRANÅS</t>
        </is>
      </c>
      <c r="I194" t="n">
        <v>2.3</v>
      </c>
      <c r="J194" t="n">
        <v>0</v>
      </c>
      <c r="K194" t="n">
        <v>0</v>
      </c>
      <c r="L194" t="n">
        <v>0</v>
      </c>
      <c r="M194" t="n">
        <v>0</v>
      </c>
      <c r="N194" t="n">
        <v>0</v>
      </c>
      <c r="O194" t="n">
        <v>0</v>
      </c>
      <c r="P194" t="n">
        <v>0</v>
      </c>
      <c r="Q194" t="n">
        <v>0</v>
      </c>
      <c r="R194" t="n">
        <v>0</v>
      </c>
      <c r="S194" t="n">
        <v>0</v>
      </c>
      <c r="T194" t="n">
        <v>0</v>
      </c>
      <c r="U194" s="2" t="inlineStr"/>
    </row>
    <row r="195" ht="15" customHeight="1">
      <c r="A195" t="inlineStr">
        <is>
          <t>A 25806-2026</t>
        </is>
      </c>
      <c r="B195" t="inlineStr">
        <is>
          <t>avverkningsanmälan</t>
        </is>
      </c>
      <c r="C195" t="inlineStr">
        <is>
          <t>Föryngringsavverkning</t>
        </is>
      </c>
      <c r="D195" s="1" t="n">
        <v>46178</v>
      </c>
      <c r="E195" s="1" t="n">
        <v>46216</v>
      </c>
      <c r="F195" t="inlineStr">
        <is>
          <t>JÖNKÖPINGS LÄN</t>
        </is>
      </c>
      <c r="G195" t="inlineStr">
        <is>
          <t>TRANÅS</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17567-2025</t>
        </is>
      </c>
      <c r="B196" t="inlineStr">
        <is>
          <t>avverkningsanmälan</t>
        </is>
      </c>
      <c r="C196" t="inlineStr">
        <is>
          <t>Föryngringsavverkning</t>
        </is>
      </c>
      <c r="D196" s="1" t="n">
        <v>45757</v>
      </c>
      <c r="E196" s="1" t="n">
        <v>46216</v>
      </c>
      <c r="F196" t="inlineStr">
        <is>
          <t>JÖNKÖPINGS LÄN</t>
        </is>
      </c>
      <c r="G196" t="inlineStr">
        <is>
          <t>TRANÅS</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18073-2024</t>
        </is>
      </c>
      <c r="B197" t="inlineStr">
        <is>
          <t>avverkningsanmälan</t>
        </is>
      </c>
      <c r="C197" t="inlineStr">
        <is>
          <t>Avverkning för annat ändamål</t>
        </is>
      </c>
      <c r="D197" s="1" t="n">
        <v>45420</v>
      </c>
      <c r="E197" s="1" t="n">
        <v>46216</v>
      </c>
      <c r="F197" t="inlineStr">
        <is>
          <t>JÖNKÖPINGS LÄN</t>
        </is>
      </c>
      <c r="G197" t="inlineStr">
        <is>
          <t>TRANÅS</t>
        </is>
      </c>
      <c r="I197" t="n">
        <v>2.6</v>
      </c>
      <c r="J197" t="n">
        <v>0</v>
      </c>
      <c r="K197" t="n">
        <v>0</v>
      </c>
      <c r="L197" t="n">
        <v>0</v>
      </c>
      <c r="M197" t="n">
        <v>0</v>
      </c>
      <c r="N197" t="n">
        <v>0</v>
      </c>
      <c r="O197" t="n">
        <v>0</v>
      </c>
      <c r="P197" t="n">
        <v>0</v>
      </c>
      <c r="Q197" t="n">
        <v>0</v>
      </c>
      <c r="R197" t="n">
        <v>0</v>
      </c>
      <c r="S197" t="n">
        <v>0</v>
      </c>
      <c r="T197" t="n">
        <v>0</v>
      </c>
      <c r="U197" s="2" t="inlineStr"/>
    </row>
    <row r="198" ht="15" customHeight="1">
      <c r="A198" t="inlineStr">
        <is>
          <t>A 14286-2024</t>
        </is>
      </c>
      <c r="B198" t="inlineStr">
        <is>
          <t>avverkningsanmälan</t>
        </is>
      </c>
      <c r="C198" t="inlineStr">
        <is>
          <t>Föryngringsavverkning</t>
        </is>
      </c>
      <c r="D198" s="1" t="n">
        <v>45393</v>
      </c>
      <c r="E198" s="1" t="n">
        <v>46216</v>
      </c>
      <c r="F198" t="inlineStr">
        <is>
          <t>JÖNKÖPINGS LÄN</t>
        </is>
      </c>
      <c r="G198" t="inlineStr">
        <is>
          <t>TRANÅS</t>
        </is>
      </c>
      <c r="I198" t="n">
        <v>5.6</v>
      </c>
      <c r="J198" t="n">
        <v>0</v>
      </c>
      <c r="K198" t="n">
        <v>0</v>
      </c>
      <c r="L198" t="n">
        <v>0</v>
      </c>
      <c r="M198" t="n">
        <v>0</v>
      </c>
      <c r="N198" t="n">
        <v>0</v>
      </c>
      <c r="O198" t="n">
        <v>0</v>
      </c>
      <c r="P198" t="n">
        <v>0</v>
      </c>
      <c r="Q198" t="n">
        <v>0</v>
      </c>
      <c r="R198" t="n">
        <v>0</v>
      </c>
      <c r="S198" t="n">
        <v>0</v>
      </c>
      <c r="T198" t="n">
        <v>0</v>
      </c>
      <c r="U198" s="2" t="inlineStr"/>
    </row>
    <row r="199" ht="15" customHeight="1">
      <c r="A199" t="inlineStr">
        <is>
          <t>A 30144-2024</t>
        </is>
      </c>
      <c r="B199" t="inlineStr">
        <is>
          <t>avverkningsanmälan</t>
        </is>
      </c>
      <c r="C199" t="inlineStr">
        <is>
          <t>Föryngringsavverkning</t>
        </is>
      </c>
      <c r="D199" s="1" t="n">
        <v>45489</v>
      </c>
      <c r="E199" s="1" t="n">
        <v>46216</v>
      </c>
      <c r="F199" t="inlineStr">
        <is>
          <t>JÖNKÖPINGS LÄN</t>
        </is>
      </c>
      <c r="G199" t="inlineStr">
        <is>
          <t>TRANÅS</t>
        </is>
      </c>
      <c r="H199" t="inlineStr">
        <is>
          <t>Allmännings- och besparingsskogar</t>
        </is>
      </c>
      <c r="I199" t="n">
        <v>2.7</v>
      </c>
      <c r="J199" t="n">
        <v>0</v>
      </c>
      <c r="K199" t="n">
        <v>0</v>
      </c>
      <c r="L199" t="n">
        <v>0</v>
      </c>
      <c r="M199" t="n">
        <v>0</v>
      </c>
      <c r="N199" t="n">
        <v>0</v>
      </c>
      <c r="O199" t="n">
        <v>0</v>
      </c>
      <c r="P199" t="n">
        <v>0</v>
      </c>
      <c r="Q199" t="n">
        <v>0</v>
      </c>
      <c r="R199" t="n">
        <v>0</v>
      </c>
      <c r="S199" t="n">
        <v>0</v>
      </c>
      <c r="T199" t="n">
        <v>0</v>
      </c>
      <c r="U199" s="2" t="inlineStr"/>
    </row>
    <row r="200" ht="15" customHeight="1">
      <c r="A200" t="inlineStr">
        <is>
          <t>A 23993-2023</t>
        </is>
      </c>
      <c r="B200" t="inlineStr">
        <is>
          <t>avverkningsanmälan</t>
        </is>
      </c>
      <c r="C200" t="inlineStr">
        <is>
          <t>Föryngringsavverkning</t>
        </is>
      </c>
      <c r="D200" s="1" t="n">
        <v>45078</v>
      </c>
      <c r="E200" s="1" t="n">
        <v>46216</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s="2" t="inlineStr"/>
    </row>
    <row r="201" ht="15" customHeight="1">
      <c r="A201" t="inlineStr">
        <is>
          <t>A 21351-2025</t>
        </is>
      </c>
      <c r="B201" t="inlineStr">
        <is>
          <t>avverkningsanmälan</t>
        </is>
      </c>
      <c r="C201" t="inlineStr">
        <is>
          <t>Avverkning för annat ändamål</t>
        </is>
      </c>
      <c r="D201" s="1" t="n">
        <v>45782</v>
      </c>
      <c r="E201" s="1" t="n">
        <v>46216</v>
      </c>
      <c r="F201" t="inlineStr">
        <is>
          <t>JÖNKÖPINGS LÄN</t>
        </is>
      </c>
      <c r="G201" t="inlineStr">
        <is>
          <t>TRANÅS</t>
        </is>
      </c>
      <c r="I201" t="n">
        <v>11.5</v>
      </c>
      <c r="J201" t="n">
        <v>0</v>
      </c>
      <c r="K201" t="n">
        <v>0</v>
      </c>
      <c r="L201" t="n">
        <v>0</v>
      </c>
      <c r="M201" t="n">
        <v>0</v>
      </c>
      <c r="N201" t="n">
        <v>0</v>
      </c>
      <c r="O201" t="n">
        <v>0</v>
      </c>
      <c r="P201" t="n">
        <v>0</v>
      </c>
      <c r="Q201" t="n">
        <v>0</v>
      </c>
      <c r="R201" t="n">
        <v>0</v>
      </c>
      <c r="S201" t="n">
        <v>0</v>
      </c>
      <c r="T201" t="n">
        <v>0</v>
      </c>
      <c r="U201" s="2" t="inlineStr"/>
    </row>
    <row r="202" ht="15" customHeight="1">
      <c r="A202" t="inlineStr">
        <is>
          <t>A 7940-2023</t>
        </is>
      </c>
      <c r="B202" t="inlineStr">
        <is>
          <t>avverkningsanmälan</t>
        </is>
      </c>
      <c r="C202" t="inlineStr">
        <is>
          <t>Föryngringsavverkning</t>
        </is>
      </c>
      <c r="D202" s="1" t="n">
        <v>44973</v>
      </c>
      <c r="E202" s="1" t="n">
        <v>46216</v>
      </c>
      <c r="F202" t="inlineStr">
        <is>
          <t>JÖNKÖPINGS LÄN</t>
        </is>
      </c>
      <c r="G202" t="inlineStr">
        <is>
          <t>TRANÅS</t>
        </is>
      </c>
      <c r="H202" t="inlineStr">
        <is>
          <t>Kommuner</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7950-2023</t>
        </is>
      </c>
      <c r="B203" t="inlineStr">
        <is>
          <t>avverkningsanmälan</t>
        </is>
      </c>
      <c r="C203" t="inlineStr">
        <is>
          <t>Föryngringsavverkning</t>
        </is>
      </c>
      <c r="D203" s="1" t="n">
        <v>44973</v>
      </c>
      <c r="E203" s="1" t="n">
        <v>46216</v>
      </c>
      <c r="F203" t="inlineStr">
        <is>
          <t>JÖNKÖPINGS LÄN</t>
        </is>
      </c>
      <c r="G203" t="inlineStr">
        <is>
          <t>TRANÅS</t>
        </is>
      </c>
      <c r="H203" t="inlineStr">
        <is>
          <t>Kommuner</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46127-2024</t>
        </is>
      </c>
      <c r="B204" t="inlineStr">
        <is>
          <t>avverkningsanmälan</t>
        </is>
      </c>
      <c r="C204" t="inlineStr">
        <is>
          <t>Föryngringsavverkning</t>
        </is>
      </c>
      <c r="D204" s="1" t="n">
        <v>45581</v>
      </c>
      <c r="E204" s="1" t="n">
        <v>46216</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59017-2021</t>
        </is>
      </c>
      <c r="B205" t="inlineStr">
        <is>
          <t>avverkningsanmälan</t>
        </is>
      </c>
      <c r="C205" t="inlineStr">
        <is>
          <t>Avverkning för annat ändamål</t>
        </is>
      </c>
      <c r="D205" s="1" t="n">
        <v>44489</v>
      </c>
      <c r="E205" s="1" t="n">
        <v>46216</v>
      </c>
      <c r="F205" t="inlineStr">
        <is>
          <t>JÖNKÖPINGS LÄN</t>
        </is>
      </c>
      <c r="G205" t="inlineStr">
        <is>
          <t>TRANÅS</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19983-2026</t>
        </is>
      </c>
      <c r="B206" t="inlineStr">
        <is>
          <t>avverkningsanmälan</t>
        </is>
      </c>
      <c r="C206" t="inlineStr">
        <is>
          <t>Föryngringsavverkning</t>
        </is>
      </c>
      <c r="D206" s="1" t="n">
        <v>46136</v>
      </c>
      <c r="E206" s="1" t="n">
        <v>46216</v>
      </c>
      <c r="F206" t="inlineStr">
        <is>
          <t>JÖNKÖPINGS LÄN</t>
        </is>
      </c>
      <c r="G206" t="inlineStr">
        <is>
          <t>TRANÅS</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40212-2022</t>
        </is>
      </c>
      <c r="B207" t="inlineStr">
        <is>
          <t>avverkningsanmälan</t>
        </is>
      </c>
      <c r="C207" t="inlineStr">
        <is>
          <t>Föryngringsavverkning</t>
        </is>
      </c>
      <c r="D207" s="1" t="n">
        <v>44820</v>
      </c>
      <c r="E207" s="1" t="n">
        <v>46216</v>
      </c>
      <c r="F207" t="inlineStr">
        <is>
          <t>JÖNKÖPINGS LÄN</t>
        </is>
      </c>
      <c r="G207" t="inlineStr">
        <is>
          <t>TRANÅS</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54703-2022</t>
        </is>
      </c>
      <c r="B208" t="inlineStr">
        <is>
          <t>avverkningsanmälan</t>
        </is>
      </c>
      <c r="C208" t="inlineStr">
        <is>
          <t>Föryngringsavverkning</t>
        </is>
      </c>
      <c r="D208" s="1" t="n">
        <v>44881</v>
      </c>
      <c r="E208" s="1" t="n">
        <v>46216</v>
      </c>
      <c r="F208" t="inlineStr">
        <is>
          <t>JÖNKÖPINGS LÄN</t>
        </is>
      </c>
      <c r="G208" t="inlineStr">
        <is>
          <t>TRANÅS</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1613-2022</t>
        </is>
      </c>
      <c r="B209" t="inlineStr">
        <is>
          <t>avverkningsanmälan</t>
        </is>
      </c>
      <c r="C209" t="inlineStr">
        <is>
          <t>Föryngringsavverkning</t>
        </is>
      </c>
      <c r="D209" s="1" t="n">
        <v>44573</v>
      </c>
      <c r="E209" s="1" t="n">
        <v>46216</v>
      </c>
      <c r="F209" t="inlineStr">
        <is>
          <t>JÖNKÖPINGS LÄN</t>
        </is>
      </c>
      <c r="G209" t="inlineStr">
        <is>
          <t>TRANÅS</t>
        </is>
      </c>
      <c r="H209" t="inlineStr">
        <is>
          <t>Allmännings- och besparingsskogar</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8874-2022</t>
        </is>
      </c>
      <c r="B210" t="inlineStr">
        <is>
          <t>avverkningsanmälan</t>
        </is>
      </c>
      <c r="C210" t="inlineStr">
        <is>
          <t>Avverkning för annat ändamål</t>
        </is>
      </c>
      <c r="D210" s="1" t="n">
        <v>44614</v>
      </c>
      <c r="E210" s="1" t="n">
        <v>46216</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26512-2026</t>
        </is>
      </c>
      <c r="B211" t="inlineStr">
        <is>
          <t>avverkningsanmälan</t>
        </is>
      </c>
      <c r="C211" t="inlineStr">
        <is>
          <t>Föryngringsavverkning</t>
        </is>
      </c>
      <c r="D211" s="1" t="n">
        <v>46182</v>
      </c>
      <c r="E211" s="1" t="n">
        <v>46216</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9705-2022</t>
        </is>
      </c>
      <c r="B212" t="inlineStr">
        <is>
          <t>avverkningsanmälan</t>
        </is>
      </c>
      <c r="C212" t="inlineStr">
        <is>
          <t>Föryngringsavverkning</t>
        </is>
      </c>
      <c r="D212" s="1" t="n">
        <v>44617</v>
      </c>
      <c r="E212" s="1" t="n">
        <v>46216</v>
      </c>
      <c r="F212" t="inlineStr">
        <is>
          <t>JÖNKÖPINGS LÄN</t>
        </is>
      </c>
      <c r="G212" t="inlineStr">
        <is>
          <t>TRANÅS</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3421-2024</t>
        </is>
      </c>
      <c r="B213" t="inlineStr">
        <is>
          <t>avverkningsanmälan</t>
        </is>
      </c>
      <c r="C213" t="inlineStr">
        <is>
          <t>Föryngringsavverkning</t>
        </is>
      </c>
      <c r="D213" s="1" t="n">
        <v>45319</v>
      </c>
      <c r="E213" s="1" t="n">
        <v>46216</v>
      </c>
      <c r="F213" t="inlineStr">
        <is>
          <t>JÖNKÖPINGS LÄN</t>
        </is>
      </c>
      <c r="G213" t="inlineStr">
        <is>
          <t>TRANÅS</t>
        </is>
      </c>
      <c r="I213" t="n">
        <v>2.8</v>
      </c>
      <c r="J213" t="n">
        <v>0</v>
      </c>
      <c r="K213" t="n">
        <v>0</v>
      </c>
      <c r="L213" t="n">
        <v>0</v>
      </c>
      <c r="M213" t="n">
        <v>0</v>
      </c>
      <c r="N213" t="n">
        <v>0</v>
      </c>
      <c r="O213" t="n">
        <v>0</v>
      </c>
      <c r="P213" t="n">
        <v>0</v>
      </c>
      <c r="Q213" t="n">
        <v>0</v>
      </c>
      <c r="R213" t="n">
        <v>0</v>
      </c>
      <c r="S213" t="n">
        <v>0</v>
      </c>
      <c r="T213" t="n">
        <v>0</v>
      </c>
      <c r="U213" s="2" t="inlineStr"/>
    </row>
    <row r="214" ht="15" customHeight="1">
      <c r="A214" t="inlineStr">
        <is>
          <t>A 41496-2023</t>
        </is>
      </c>
      <c r="B214" t="inlineStr">
        <is>
          <t>avverkningsanmälan</t>
        </is>
      </c>
      <c r="C214" t="inlineStr">
        <is>
          <t>Föryngringsavverkning</t>
        </is>
      </c>
      <c r="D214" s="1" t="n">
        <v>45175</v>
      </c>
      <c r="E214" s="1" t="n">
        <v>46216</v>
      </c>
      <c r="F214" t="inlineStr">
        <is>
          <t>JÖNKÖPINGS LÄN</t>
        </is>
      </c>
      <c r="G214" t="inlineStr">
        <is>
          <t>TRANÅS</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20558-2023</t>
        </is>
      </c>
      <c r="B215" t="inlineStr">
        <is>
          <t>avverkningsanmälan</t>
        </is>
      </c>
      <c r="C215" t="inlineStr">
        <is>
          <t>Föryngringsavverkning</t>
        </is>
      </c>
      <c r="D215" s="1" t="n">
        <v>45057</v>
      </c>
      <c r="E215" s="1" t="n">
        <v>46216</v>
      </c>
      <c r="F215" t="inlineStr">
        <is>
          <t>JÖNKÖPINGS LÄN</t>
        </is>
      </c>
      <c r="G215" t="inlineStr">
        <is>
          <t>TRANÅS</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57038-2021</t>
        </is>
      </c>
      <c r="B216" t="inlineStr">
        <is>
          <t>avverkningsanmälan</t>
        </is>
      </c>
      <c r="C216" t="inlineStr">
        <is>
          <t>Föryngringsavverkning</t>
        </is>
      </c>
      <c r="D216" s="1" t="n">
        <v>44482</v>
      </c>
      <c r="E216" s="1" t="n">
        <v>46216</v>
      </c>
      <c r="F216" t="inlineStr">
        <is>
          <t>JÖNKÖPINGS LÄN</t>
        </is>
      </c>
      <c r="G216" t="inlineStr">
        <is>
          <t>TRANÅS</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48315-2023</t>
        </is>
      </c>
      <c r="B217" t="inlineStr">
        <is>
          <t>avverkningsanmälan</t>
        </is>
      </c>
      <c r="C217" t="inlineStr">
        <is>
          <t>Avverkning för annat ändamål</t>
        </is>
      </c>
      <c r="D217" s="1" t="n">
        <v>45201</v>
      </c>
      <c r="E217" s="1" t="n">
        <v>46216</v>
      </c>
      <c r="F217" t="inlineStr">
        <is>
          <t>JÖNKÖPINGS LÄN</t>
        </is>
      </c>
      <c r="G217" t="inlineStr">
        <is>
          <t>TRANÅS</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644-2023</t>
        </is>
      </c>
      <c r="B218" t="inlineStr">
        <is>
          <t>avverkningsanmälan</t>
        </is>
      </c>
      <c r="C218" t="inlineStr">
        <is>
          <t>Föryngringsavverkning</t>
        </is>
      </c>
      <c r="D218" s="1" t="n">
        <v>44930</v>
      </c>
      <c r="E218" s="1" t="n">
        <v>46216</v>
      </c>
      <c r="F218" t="inlineStr">
        <is>
          <t>JÖNKÖPINGS LÄN</t>
        </is>
      </c>
      <c r="G218" t="inlineStr">
        <is>
          <t>TRANÅS</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39600-2024</t>
        </is>
      </c>
      <c r="B219" t="inlineStr">
        <is>
          <t>avverkningsanmälan</t>
        </is>
      </c>
      <c r="C219" t="inlineStr">
        <is>
          <t>Föryngringsavverkning</t>
        </is>
      </c>
      <c r="D219" s="1" t="n">
        <v>45552</v>
      </c>
      <c r="E219" s="1" t="n">
        <v>46216</v>
      </c>
      <c r="F219" t="inlineStr">
        <is>
          <t>JÖNKÖPINGS LÄN</t>
        </is>
      </c>
      <c r="G219" t="inlineStr">
        <is>
          <t>TRANÅS</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4153-2025</t>
        </is>
      </c>
      <c r="B220" t="inlineStr">
        <is>
          <t>avverkningsanmälan</t>
        </is>
      </c>
      <c r="C220" t="inlineStr">
        <is>
          <t>Föryngringsavverkning</t>
        </is>
      </c>
      <c r="D220" s="1" t="n">
        <v>45685</v>
      </c>
      <c r="E220" s="1" t="n">
        <v>46216</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27686-2026</t>
        </is>
      </c>
      <c r="B221" t="inlineStr">
        <is>
          <t>avverkningsanmälan</t>
        </is>
      </c>
      <c r="C221" t="inlineStr">
        <is>
          <t>Föryngringsavverkning</t>
        </is>
      </c>
      <c r="D221" s="1" t="n">
        <v>46190</v>
      </c>
      <c r="E221" s="1" t="n">
        <v>46216</v>
      </c>
      <c r="F221" t="inlineStr">
        <is>
          <t>JÖNKÖPINGS LÄN</t>
        </is>
      </c>
      <c r="G221" t="inlineStr">
        <is>
          <t>TRANÅS</t>
        </is>
      </c>
      <c r="H221" t="inlineStr">
        <is>
          <t>Allmännings- och besparingsskogar</t>
        </is>
      </c>
      <c r="I221" t="n">
        <v>11.2</v>
      </c>
      <c r="J221" t="n">
        <v>0</v>
      </c>
      <c r="K221" t="n">
        <v>0</v>
      </c>
      <c r="L221" t="n">
        <v>0</v>
      </c>
      <c r="M221" t="n">
        <v>0</v>
      </c>
      <c r="N221" t="n">
        <v>0</v>
      </c>
      <c r="O221" t="n">
        <v>0</v>
      </c>
      <c r="P221" t="n">
        <v>0</v>
      </c>
      <c r="Q221" t="n">
        <v>0</v>
      </c>
      <c r="R221" t="n">
        <v>0</v>
      </c>
      <c r="S221" t="n">
        <v>0</v>
      </c>
      <c r="T221" t="n">
        <v>0</v>
      </c>
      <c r="U221" s="2" t="inlineStr"/>
    </row>
    <row r="222" ht="15" customHeight="1">
      <c r="A222" t="inlineStr">
        <is>
          <t>A 27690-2026</t>
        </is>
      </c>
      <c r="B222" t="inlineStr">
        <is>
          <t>avverkningsanmälan</t>
        </is>
      </c>
      <c r="C222" t="inlineStr">
        <is>
          <t>Föryngringsavverkning</t>
        </is>
      </c>
      <c r="D222" s="1" t="n">
        <v>46190</v>
      </c>
      <c r="E222" s="1" t="n">
        <v>46216</v>
      </c>
      <c r="F222" t="inlineStr">
        <is>
          <t>JÖNKÖPINGS LÄN</t>
        </is>
      </c>
      <c r="G222" t="inlineStr">
        <is>
          <t>TRANÅS</t>
        </is>
      </c>
      <c r="H222" t="inlineStr">
        <is>
          <t>Allmännings- och besparingsskogar</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27693-2026</t>
        </is>
      </c>
      <c r="B223" t="inlineStr">
        <is>
          <t>avverkningsanmälan</t>
        </is>
      </c>
      <c r="C223" t="inlineStr">
        <is>
          <t>Föryngringsavverkning</t>
        </is>
      </c>
      <c r="D223" s="1" t="n">
        <v>46190</v>
      </c>
      <c r="E223" s="1" t="n">
        <v>46216</v>
      </c>
      <c r="F223" t="inlineStr">
        <is>
          <t>JÖNKÖPINGS LÄN</t>
        </is>
      </c>
      <c r="G223" t="inlineStr">
        <is>
          <t>TRANÅS</t>
        </is>
      </c>
      <c r="H223" t="inlineStr">
        <is>
          <t>Allmännings- och besparingsskogar</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16587-2024</t>
        </is>
      </c>
      <c r="B224" t="inlineStr">
        <is>
          <t>avverkningsanmälan</t>
        </is>
      </c>
      <c r="C224" t="inlineStr">
        <is>
          <t>Föryngringsavverkning</t>
        </is>
      </c>
      <c r="D224" s="1" t="n">
        <v>45408</v>
      </c>
      <c r="E224" s="1" t="n">
        <v>46216</v>
      </c>
      <c r="F224" t="inlineStr">
        <is>
          <t>JÖNKÖPINGS LÄN</t>
        </is>
      </c>
      <c r="G224" t="inlineStr">
        <is>
          <t>TRANÅS</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19494-2022</t>
        </is>
      </c>
      <c r="B225" t="inlineStr">
        <is>
          <t>avverkningsanmälan</t>
        </is>
      </c>
      <c r="C225" t="inlineStr">
        <is>
          <t>Föryngringsavverkning</t>
        </is>
      </c>
      <c r="D225" s="1" t="n">
        <v>44693</v>
      </c>
      <c r="E225" s="1" t="n">
        <v>46216</v>
      </c>
      <c r="F225" t="inlineStr">
        <is>
          <t>JÖNKÖPINGS LÄN</t>
        </is>
      </c>
      <c r="G225" t="inlineStr">
        <is>
          <t>TRANÅS</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5898-2024</t>
        </is>
      </c>
      <c r="B226" t="inlineStr">
        <is>
          <t>avverkningsanmälan</t>
        </is>
      </c>
      <c r="C226" t="inlineStr">
        <is>
          <t>Avverkning för annat ändamål</t>
        </is>
      </c>
      <c r="D226" s="1" t="n">
        <v>45335</v>
      </c>
      <c r="E226" s="1" t="n">
        <v>46216</v>
      </c>
      <c r="F226" t="inlineStr">
        <is>
          <t>JÖNKÖPINGS LÄN</t>
        </is>
      </c>
      <c r="G226" t="inlineStr">
        <is>
          <t>TRANÅS</t>
        </is>
      </c>
      <c r="H226" t="inlineStr">
        <is>
          <t>Allmännings- och besparingsskogar</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34518-2023</t>
        </is>
      </c>
      <c r="B227" t="inlineStr">
        <is>
          <t>avverkningsanmälan</t>
        </is>
      </c>
      <c r="C227" t="inlineStr">
        <is>
          <t>Föryngringsavverkning</t>
        </is>
      </c>
      <c r="D227" s="1" t="n">
        <v>45140</v>
      </c>
      <c r="E227" s="1" t="n">
        <v>46216</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27957-2026</t>
        </is>
      </c>
      <c r="B228" t="inlineStr">
        <is>
          <t>avverkningsanmälan</t>
        </is>
      </c>
      <c r="C228" t="inlineStr">
        <is>
          <t>Föryngringsavverkning</t>
        </is>
      </c>
      <c r="D228" s="1" t="n">
        <v>46194</v>
      </c>
      <c r="E228" s="1" t="n">
        <v>46216</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52174-2025</t>
        </is>
      </c>
      <c r="B229" t="inlineStr">
        <is>
          <t>avverkningsanmälan</t>
        </is>
      </c>
      <c r="C229" t="inlineStr">
        <is>
          <t>Föryngringsavverkning</t>
        </is>
      </c>
      <c r="D229" s="1" t="n">
        <v>45953</v>
      </c>
      <c r="E229" s="1" t="n">
        <v>46216</v>
      </c>
      <c r="F229" t="inlineStr">
        <is>
          <t>JÖNKÖPINGS LÄN</t>
        </is>
      </c>
      <c r="G229" t="inlineStr">
        <is>
          <t>TRANÅS</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60184-2024</t>
        </is>
      </c>
      <c r="B230" t="inlineStr">
        <is>
          <t>avverkningsanmälan</t>
        </is>
      </c>
      <c r="C230" t="inlineStr">
        <is>
          <t>Föryngringsavverkning</t>
        </is>
      </c>
      <c r="D230" s="1" t="n">
        <v>45639</v>
      </c>
      <c r="E230" s="1" t="n">
        <v>46216</v>
      </c>
      <c r="F230" t="inlineStr">
        <is>
          <t>JÖNKÖPINGS LÄN</t>
        </is>
      </c>
      <c r="G230" t="inlineStr">
        <is>
          <t>TRANÅS</t>
        </is>
      </c>
      <c r="I230" t="n">
        <v>6</v>
      </c>
      <c r="J230" t="n">
        <v>0</v>
      </c>
      <c r="K230" t="n">
        <v>0</v>
      </c>
      <c r="L230" t="n">
        <v>0</v>
      </c>
      <c r="M230" t="n">
        <v>0</v>
      </c>
      <c r="N230" t="n">
        <v>0</v>
      </c>
      <c r="O230" t="n">
        <v>0</v>
      </c>
      <c r="P230" t="n">
        <v>0</v>
      </c>
      <c r="Q230" t="n">
        <v>0</v>
      </c>
      <c r="R230" t="n">
        <v>0</v>
      </c>
      <c r="S230" t="n">
        <v>0</v>
      </c>
      <c r="T230" t="n">
        <v>0</v>
      </c>
      <c r="U230" s="2" t="inlineStr"/>
    </row>
    <row r="231" ht="15" customHeight="1">
      <c r="A231" t="inlineStr">
        <is>
          <t>A 31694-2024</t>
        </is>
      </c>
      <c r="B231" t="inlineStr">
        <is>
          <t>avverkningsanmälan</t>
        </is>
      </c>
      <c r="C231" t="inlineStr">
        <is>
          <t>Avverkning för att bevara och utveckla /försöksver</t>
        </is>
      </c>
      <c r="D231" s="1" t="n">
        <v>45508</v>
      </c>
      <c r="E231" s="1" t="n">
        <v>46216</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2768-2024</t>
        </is>
      </c>
      <c r="B232" t="inlineStr">
        <is>
          <t>avverkningsanmälan</t>
        </is>
      </c>
      <c r="C232" t="inlineStr">
        <is>
          <t>Föryngringsavverkning</t>
        </is>
      </c>
      <c r="D232" s="1" t="n">
        <v>45314</v>
      </c>
      <c r="E232" s="1" t="n">
        <v>46216</v>
      </c>
      <c r="F232" t="inlineStr">
        <is>
          <t>JÖNKÖPINGS LÄN</t>
        </is>
      </c>
      <c r="G232" t="inlineStr">
        <is>
          <t>TRANÅS</t>
        </is>
      </c>
      <c r="I232" t="n">
        <v>4.4</v>
      </c>
      <c r="J232" t="n">
        <v>0</v>
      </c>
      <c r="K232" t="n">
        <v>0</v>
      </c>
      <c r="L232" t="n">
        <v>0</v>
      </c>
      <c r="M232" t="n">
        <v>0</v>
      </c>
      <c r="N232" t="n">
        <v>0</v>
      </c>
      <c r="O232" t="n">
        <v>0</v>
      </c>
      <c r="P232" t="n">
        <v>0</v>
      </c>
      <c r="Q232" t="n">
        <v>0</v>
      </c>
      <c r="R232" t="n">
        <v>0</v>
      </c>
      <c r="S232" t="n">
        <v>0</v>
      </c>
      <c r="T232" t="n">
        <v>0</v>
      </c>
      <c r="U232" s="2" t="inlineStr"/>
    </row>
    <row r="233" ht="15" customHeight="1">
      <c r="A233" t="inlineStr">
        <is>
          <t>A 48507-2021</t>
        </is>
      </c>
      <c r="B233" t="inlineStr">
        <is>
          <t>avverkningsanmälan</t>
        </is>
      </c>
      <c r="C233" t="inlineStr">
        <is>
          <t>Föryngringsavverkning</t>
        </is>
      </c>
      <c r="D233" s="1" t="n">
        <v>44452</v>
      </c>
      <c r="E233" s="1" t="n">
        <v>46216</v>
      </c>
      <c r="F233" t="inlineStr">
        <is>
          <t>JÖNKÖPINGS LÄN</t>
        </is>
      </c>
      <c r="G233" t="inlineStr">
        <is>
          <t>TRANÅS</t>
        </is>
      </c>
      <c r="H233" t="inlineStr">
        <is>
          <t>Allmännings- och besparingsskogar</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21459-2025</t>
        </is>
      </c>
      <c r="B234" t="inlineStr">
        <is>
          <t>avverkningsanmälan</t>
        </is>
      </c>
      <c r="C234" t="inlineStr">
        <is>
          <t>Föryngringsavverkning</t>
        </is>
      </c>
      <c r="D234" s="1" t="n">
        <v>45782</v>
      </c>
      <c r="E234" s="1" t="n">
        <v>46216</v>
      </c>
      <c r="F234" t="inlineStr">
        <is>
          <t>JÖNKÖPINGS LÄN</t>
        </is>
      </c>
      <c r="G234" t="inlineStr">
        <is>
          <t>TRANÅS</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28580-2026</t>
        </is>
      </c>
      <c r="B235" t="inlineStr">
        <is>
          <t>avverkningsanmälan</t>
        </is>
      </c>
      <c r="C235" t="inlineStr">
        <is>
          <t>Föryngringsavverkning</t>
        </is>
      </c>
      <c r="D235" s="1" t="n">
        <v>46197</v>
      </c>
      <c r="E235" s="1" t="n">
        <v>46216</v>
      </c>
      <c r="F235" t="inlineStr">
        <is>
          <t>JÖNKÖPINGS LÄN</t>
        </is>
      </c>
      <c r="G235" t="inlineStr">
        <is>
          <t>TRANÅS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18728-2024</t>
        </is>
      </c>
      <c r="B236" t="inlineStr">
        <is>
          <t>avverkningsanmälan</t>
        </is>
      </c>
      <c r="C236" t="inlineStr">
        <is>
          <t>Föryngringsavverkning</t>
        </is>
      </c>
      <c r="D236" s="1" t="n">
        <v>45426</v>
      </c>
      <c r="E236" s="1" t="n">
        <v>46216</v>
      </c>
      <c r="F236" t="inlineStr">
        <is>
          <t>JÖNKÖPINGS LÄN</t>
        </is>
      </c>
      <c r="G236" t="inlineStr">
        <is>
          <t>TRANÅS</t>
        </is>
      </c>
      <c r="I236" t="n">
        <v>5.2</v>
      </c>
      <c r="J236" t="n">
        <v>0</v>
      </c>
      <c r="K236" t="n">
        <v>0</v>
      </c>
      <c r="L236" t="n">
        <v>0</v>
      </c>
      <c r="M236" t="n">
        <v>0</v>
      </c>
      <c r="N236" t="n">
        <v>0</v>
      </c>
      <c r="O236" t="n">
        <v>0</v>
      </c>
      <c r="P236" t="n">
        <v>0</v>
      </c>
      <c r="Q236" t="n">
        <v>0</v>
      </c>
      <c r="R236" t="n">
        <v>0</v>
      </c>
      <c r="S236" t="n">
        <v>0</v>
      </c>
      <c r="T236" t="n">
        <v>0</v>
      </c>
      <c r="U236" s="2" t="inlineStr"/>
    </row>
    <row r="237" ht="15" customHeight="1">
      <c r="A237" t="inlineStr">
        <is>
          <t>A 39722-2024</t>
        </is>
      </c>
      <c r="B237" t="inlineStr">
        <is>
          <t>avverkningsanmälan</t>
        </is>
      </c>
      <c r="C237" t="inlineStr">
        <is>
          <t>Föryngringsavverkning</t>
        </is>
      </c>
      <c r="D237" s="1" t="n">
        <v>45552</v>
      </c>
      <c r="E237" s="1" t="n">
        <v>46216</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12070-2024</t>
        </is>
      </c>
      <c r="B238" t="inlineStr">
        <is>
          <t>avverkningsanmälan</t>
        </is>
      </c>
      <c r="C238" t="inlineStr">
        <is>
          <t>Föryngringsavverkning</t>
        </is>
      </c>
      <c r="D238" s="1" t="n">
        <v>45377</v>
      </c>
      <c r="E238" s="1" t="n">
        <v>46216</v>
      </c>
      <c r="F238" t="inlineStr">
        <is>
          <t>JÖNKÖPINGS LÄN</t>
        </is>
      </c>
      <c r="G238" t="inlineStr">
        <is>
          <t>TRANÅS</t>
        </is>
      </c>
      <c r="I238" t="n">
        <v>12.5</v>
      </c>
      <c r="J238" t="n">
        <v>0</v>
      </c>
      <c r="K238" t="n">
        <v>0</v>
      </c>
      <c r="L238" t="n">
        <v>0</v>
      </c>
      <c r="M238" t="n">
        <v>0</v>
      </c>
      <c r="N238" t="n">
        <v>0</v>
      </c>
      <c r="O238" t="n">
        <v>0</v>
      </c>
      <c r="P238" t="n">
        <v>0</v>
      </c>
      <c r="Q238" t="n">
        <v>0</v>
      </c>
      <c r="R238" t="n">
        <v>0</v>
      </c>
      <c r="S238" t="n">
        <v>0</v>
      </c>
      <c r="T238" t="n">
        <v>0</v>
      </c>
      <c r="U238" s="2" t="inlineStr"/>
    </row>
    <row r="239" ht="15" customHeight="1">
      <c r="A239" t="inlineStr">
        <is>
          <t>A 28814-2026</t>
        </is>
      </c>
      <c r="B239" t="inlineStr">
        <is>
          <t>avverkningsanmälan</t>
        </is>
      </c>
      <c r="C239" t="inlineStr">
        <is>
          <t>Föryngringsavverkning</t>
        </is>
      </c>
      <c r="D239" s="1" t="n">
        <v>46198</v>
      </c>
      <c r="E239" s="1" t="n">
        <v>46216</v>
      </c>
      <c r="F239" t="inlineStr">
        <is>
          <t>JÖNKÖPINGS LÄN</t>
        </is>
      </c>
      <c r="G239" t="inlineStr">
        <is>
          <t>TRANÅS</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36998-2024</t>
        </is>
      </c>
      <c r="B240" t="inlineStr">
        <is>
          <t>avverkningsanmälan</t>
        </is>
      </c>
      <c r="C240" t="inlineStr">
        <is>
          <t>Avverkning för annat ändamål</t>
        </is>
      </c>
      <c r="D240" s="1" t="n">
        <v>45539</v>
      </c>
      <c r="E240" s="1" t="n">
        <v>46216</v>
      </c>
      <c r="F240" t="inlineStr">
        <is>
          <t>JÖNKÖPINGS LÄN</t>
        </is>
      </c>
      <c r="G240" t="inlineStr">
        <is>
          <t>TRANÅS</t>
        </is>
      </c>
      <c r="I240" t="n">
        <v>5.3</v>
      </c>
      <c r="J240" t="n">
        <v>0</v>
      </c>
      <c r="K240" t="n">
        <v>0</v>
      </c>
      <c r="L240" t="n">
        <v>0</v>
      </c>
      <c r="M240" t="n">
        <v>0</v>
      </c>
      <c r="N240" t="n">
        <v>0</v>
      </c>
      <c r="O240" t="n">
        <v>0</v>
      </c>
      <c r="P240" t="n">
        <v>0</v>
      </c>
      <c r="Q240" t="n">
        <v>0</v>
      </c>
      <c r="R240" t="n">
        <v>0</v>
      </c>
      <c r="S240" t="n">
        <v>0</v>
      </c>
      <c r="T240" t="n">
        <v>0</v>
      </c>
      <c r="U240" s="2" t="inlineStr"/>
    </row>
    <row r="241" ht="15" customHeight="1">
      <c r="A241" t="inlineStr">
        <is>
          <t>A 29221-2026</t>
        </is>
      </c>
      <c r="B241" t="inlineStr">
        <is>
          <t>avverkningsanmälan</t>
        </is>
      </c>
      <c r="C241" t="inlineStr">
        <is>
          <t>Föryngringsavverkning</t>
        </is>
      </c>
      <c r="D241" s="1" t="n">
        <v>46202</v>
      </c>
      <c r="E241" s="1" t="n">
        <v>46216</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19771-2023</t>
        </is>
      </c>
      <c r="B242" t="inlineStr">
        <is>
          <t>avverkningsanmälan</t>
        </is>
      </c>
      <c r="C242" t="inlineStr">
        <is>
          <t>Föryngringsavverkning</t>
        </is>
      </c>
      <c r="D242" s="1" t="n">
        <v>45051</v>
      </c>
      <c r="E242" s="1" t="n">
        <v>46216</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s="2" t="inlineStr"/>
    </row>
    <row r="243" ht="15" customHeight="1">
      <c r="A243" t="inlineStr">
        <is>
          <t>A 37901-2025</t>
        </is>
      </c>
      <c r="B243" t="inlineStr">
        <is>
          <t>avverkningsanmälan</t>
        </is>
      </c>
      <c r="C243" t="inlineStr">
        <is>
          <t>Föryngringsavverkning</t>
        </is>
      </c>
      <c r="D243" s="1" t="n">
        <v>45880</v>
      </c>
      <c r="E243" s="1" t="n">
        <v>46216</v>
      </c>
      <c r="F243" t="inlineStr">
        <is>
          <t>JÖNKÖPINGS LÄN</t>
        </is>
      </c>
      <c r="G243" t="inlineStr">
        <is>
          <t>TRANÅS</t>
        </is>
      </c>
      <c r="I243" t="n">
        <v>3.6</v>
      </c>
      <c r="J243" t="n">
        <v>0</v>
      </c>
      <c r="K243" t="n">
        <v>0</v>
      </c>
      <c r="L243" t="n">
        <v>0</v>
      </c>
      <c r="M243" t="n">
        <v>0</v>
      </c>
      <c r="N243" t="n">
        <v>0</v>
      </c>
      <c r="O243" t="n">
        <v>0</v>
      </c>
      <c r="P243" t="n">
        <v>0</v>
      </c>
      <c r="Q243" t="n">
        <v>0</v>
      </c>
      <c r="R243" t="n">
        <v>0</v>
      </c>
      <c r="S243" t="n">
        <v>0</v>
      </c>
      <c r="T243" t="n">
        <v>0</v>
      </c>
      <c r="U243" s="2" t="inlineStr"/>
    </row>
    <row r="244" ht="15" customHeight="1">
      <c r="A244" t="inlineStr">
        <is>
          <t>A 18496-2024</t>
        </is>
      </c>
      <c r="B244" t="inlineStr">
        <is>
          <t>avverkningsanmälan</t>
        </is>
      </c>
      <c r="C244" t="inlineStr">
        <is>
          <t>Avverkning för annat ändamål</t>
        </is>
      </c>
      <c r="D244" s="1" t="n">
        <v>45425</v>
      </c>
      <c r="E244" s="1" t="n">
        <v>46216</v>
      </c>
      <c r="F244" t="inlineStr">
        <is>
          <t>JÖNKÖPINGS LÄN</t>
        </is>
      </c>
      <c r="G244" t="inlineStr">
        <is>
          <t>TRANÅS</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39652-2021</t>
        </is>
      </c>
      <c r="B245" t="inlineStr">
        <is>
          <t>avverkningsanmälan</t>
        </is>
      </c>
      <c r="C245" t="inlineStr">
        <is>
          <t>Föryngringsavverkning</t>
        </is>
      </c>
      <c r="D245" s="1" t="n">
        <v>44417</v>
      </c>
      <c r="E245" s="1" t="n">
        <v>46216</v>
      </c>
      <c r="F245" t="inlineStr">
        <is>
          <t>JÖNKÖPINGS LÄN</t>
        </is>
      </c>
      <c r="G245" t="inlineStr">
        <is>
          <t>TRANÅS</t>
        </is>
      </c>
      <c r="H245" t="inlineStr">
        <is>
          <t>Allmännings- och besparingsskogar</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21319-2023</t>
        </is>
      </c>
      <c r="B246" t="inlineStr">
        <is>
          <t>avverkningsanmälan</t>
        </is>
      </c>
      <c r="C246" t="inlineStr">
        <is>
          <t>Avverkning för annat ändamål</t>
        </is>
      </c>
      <c r="D246" s="1" t="n">
        <v>45062</v>
      </c>
      <c r="E246" s="1" t="n">
        <v>46216</v>
      </c>
      <c r="F246" t="inlineStr">
        <is>
          <t>JÖNKÖPINGS LÄN</t>
        </is>
      </c>
      <c r="G246" t="inlineStr">
        <is>
          <t>TRANÅS</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61393-2023</t>
        </is>
      </c>
      <c r="B247" t="inlineStr">
        <is>
          <t>avverkningsanmälan</t>
        </is>
      </c>
      <c r="C247" t="inlineStr">
        <is>
          <t>Föryngringsavverkning</t>
        </is>
      </c>
      <c r="D247" s="1" t="n">
        <v>45261</v>
      </c>
      <c r="E247" s="1" t="n">
        <v>46216</v>
      </c>
      <c r="F247" t="inlineStr">
        <is>
          <t>JÖNKÖPINGS LÄN</t>
        </is>
      </c>
      <c r="G247" t="inlineStr">
        <is>
          <t>TRANÅS</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40564-2024</t>
        </is>
      </c>
      <c r="B248" t="inlineStr">
        <is>
          <t>avverkningsanmälan</t>
        </is>
      </c>
      <c r="C248" t="inlineStr">
        <is>
          <t>Föryngringsavverkning</t>
        </is>
      </c>
      <c r="D248" s="1" t="n">
        <v>45555</v>
      </c>
      <c r="E248" s="1" t="n">
        <v>46216</v>
      </c>
      <c r="F248" t="inlineStr">
        <is>
          <t>JÖNKÖPINGS LÄN</t>
        </is>
      </c>
      <c r="G248" t="inlineStr">
        <is>
          <t>TRANÅS</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61702-2022</t>
        </is>
      </c>
      <c r="B249" t="inlineStr">
        <is>
          <t>avverkningsanmälan</t>
        </is>
      </c>
      <c r="C249" t="inlineStr">
        <is>
          <t>Föryngringsavverkning</t>
        </is>
      </c>
      <c r="D249" s="1" t="n">
        <v>44917</v>
      </c>
      <c r="E249" s="1" t="n">
        <v>46216</v>
      </c>
      <c r="F249" t="inlineStr">
        <is>
          <t>JÖNKÖPINGS LÄN</t>
        </is>
      </c>
      <c r="G249" t="inlineStr">
        <is>
          <t>TRANÅS</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29654-2026</t>
        </is>
      </c>
      <c r="B250" t="inlineStr">
        <is>
          <t>avverkningsanmälan</t>
        </is>
      </c>
      <c r="C250" t="inlineStr">
        <is>
          <t>Avverkning för annat ändamål</t>
        </is>
      </c>
      <c r="D250" s="1" t="n">
        <v>46204</v>
      </c>
      <c r="E250" s="1" t="n">
        <v>46216</v>
      </c>
      <c r="F250" t="inlineStr">
        <is>
          <t>JÖNKÖPINGS LÄN</t>
        </is>
      </c>
      <c r="G250" t="inlineStr">
        <is>
          <t>TRANÅS</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4563-2024</t>
        </is>
      </c>
      <c r="B251" t="inlineStr">
        <is>
          <t>avverkningsanmälan</t>
        </is>
      </c>
      <c r="C251" t="inlineStr">
        <is>
          <t>Föryngringsavverkning</t>
        </is>
      </c>
      <c r="D251" s="1" t="n">
        <v>45327</v>
      </c>
      <c r="E251" s="1" t="n">
        <v>46216</v>
      </c>
      <c r="F251" t="inlineStr">
        <is>
          <t>JÖNKÖPINGS LÄN</t>
        </is>
      </c>
      <c r="G251" t="inlineStr">
        <is>
          <t>TRANÅS</t>
        </is>
      </c>
      <c r="I251" t="n">
        <v>6.1</v>
      </c>
      <c r="J251" t="n">
        <v>0</v>
      </c>
      <c r="K251" t="n">
        <v>0</v>
      </c>
      <c r="L251" t="n">
        <v>0</v>
      </c>
      <c r="M251" t="n">
        <v>0</v>
      </c>
      <c r="N251" t="n">
        <v>0</v>
      </c>
      <c r="O251" t="n">
        <v>0</v>
      </c>
      <c r="P251" t="n">
        <v>0</v>
      </c>
      <c r="Q251" t="n">
        <v>0</v>
      </c>
      <c r="R251" t="n">
        <v>0</v>
      </c>
      <c r="S251" t="n">
        <v>0</v>
      </c>
      <c r="T251" t="n">
        <v>0</v>
      </c>
      <c r="U251" s="2" t="inlineStr"/>
    </row>
    <row r="252" ht="15" customHeight="1">
      <c r="A252" t="inlineStr">
        <is>
          <t>A 41501-2025</t>
        </is>
      </c>
      <c r="B252" t="inlineStr">
        <is>
          <t>avverkningsanmälan</t>
        </is>
      </c>
      <c r="C252" t="inlineStr">
        <is>
          <t>Föryngringsavverkning</t>
        </is>
      </c>
      <c r="D252" s="1" t="n">
        <v>45901</v>
      </c>
      <c r="E252" s="1" t="n">
        <v>46216</v>
      </c>
      <c r="F252" t="inlineStr">
        <is>
          <t>JÖNKÖPINGS LÄN</t>
        </is>
      </c>
      <c r="G252" t="inlineStr">
        <is>
          <t>TRANÅS</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16150-2023</t>
        </is>
      </c>
      <c r="B253" t="inlineStr">
        <is>
          <t>avverkningsanmälan</t>
        </is>
      </c>
      <c r="C253" t="inlineStr">
        <is>
          <t>Föryngringsavverkning</t>
        </is>
      </c>
      <c r="D253" s="1" t="n">
        <v>45027</v>
      </c>
      <c r="E253" s="1" t="n">
        <v>46216</v>
      </c>
      <c r="F253" t="inlineStr">
        <is>
          <t>JÖNKÖPINGS LÄN</t>
        </is>
      </c>
      <c r="G253" t="inlineStr">
        <is>
          <t>TRANÅS</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s="2" t="inlineStr"/>
    </row>
    <row r="254" ht="15" customHeight="1">
      <c r="A254" t="inlineStr">
        <is>
          <t>A 24068-2026</t>
        </is>
      </c>
      <c r="B254" t="inlineStr">
        <is>
          <t>avverkningsanmälan</t>
        </is>
      </c>
      <c r="C254" t="inlineStr">
        <is>
          <t>Föryngringsavverkning</t>
        </is>
      </c>
      <c r="D254" s="1" t="n">
        <v>46164</v>
      </c>
      <c r="E254" s="1" t="n">
        <v>46216</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37081-2021</t>
        </is>
      </c>
      <c r="B255" t="inlineStr">
        <is>
          <t>avverkningsanmälan</t>
        </is>
      </c>
      <c r="C255" t="inlineStr">
        <is>
          <t>Föryngringsavverkning</t>
        </is>
      </c>
      <c r="D255" s="1" t="n">
        <v>44395</v>
      </c>
      <c r="E255" s="1" t="n">
        <v>46216</v>
      </c>
      <c r="F255" t="inlineStr">
        <is>
          <t>JÖNKÖPINGS LÄN</t>
        </is>
      </c>
      <c r="G255" t="inlineStr">
        <is>
          <t>TRANÅS</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33201-2025</t>
        </is>
      </c>
      <c r="B256" t="inlineStr">
        <is>
          <t>avverkningsanmälan</t>
        </is>
      </c>
      <c r="C256" t="inlineStr">
        <is>
          <t>Föryngringsavverkning</t>
        </is>
      </c>
      <c r="D256" s="1" t="n">
        <v>45840</v>
      </c>
      <c r="E256" s="1" t="n">
        <v>46216</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50202-2023</t>
        </is>
      </c>
      <c r="B257" t="inlineStr">
        <is>
          <t>avverkningsanmälan</t>
        </is>
      </c>
      <c r="C257" t="inlineStr">
        <is>
          <t>Föryngringsavverkning</t>
        </is>
      </c>
      <c r="D257" s="1" t="n">
        <v>45215</v>
      </c>
      <c r="E257" s="1" t="n">
        <v>46216</v>
      </c>
      <c r="F257" t="inlineStr">
        <is>
          <t>JÖNKÖPINGS LÄN</t>
        </is>
      </c>
      <c r="G257" t="inlineStr">
        <is>
          <t>TRANÅS</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54408-2025</t>
        </is>
      </c>
      <c r="B258" t="inlineStr">
        <is>
          <t>avverkningsanmälan</t>
        </is>
      </c>
      <c r="C258" t="inlineStr">
        <is>
          <t>Föryngringsavverkning</t>
        </is>
      </c>
      <c r="D258" s="1" t="n">
        <v>45964</v>
      </c>
      <c r="E258" s="1" t="n">
        <v>46216</v>
      </c>
      <c r="F258" t="inlineStr">
        <is>
          <t>JÖNKÖPINGS LÄN</t>
        </is>
      </c>
      <c r="G258" t="inlineStr">
        <is>
          <t>TRANÅS</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19328-2025</t>
        </is>
      </c>
      <c r="B259" t="inlineStr">
        <is>
          <t>avverkningsanmälan</t>
        </is>
      </c>
      <c r="C259" t="inlineStr">
        <is>
          <t>Föryngringsavverkning</t>
        </is>
      </c>
      <c r="D259" s="1" t="n">
        <v>45769</v>
      </c>
      <c r="E259" s="1" t="n">
        <v>46216</v>
      </c>
      <c r="F259" t="inlineStr">
        <is>
          <t>JÖNKÖPINGS LÄN</t>
        </is>
      </c>
      <c r="G259" t="inlineStr">
        <is>
          <t>TRANÅS</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46854-2024</t>
        </is>
      </c>
      <c r="B260" t="inlineStr">
        <is>
          <t>avverkningsanmälan</t>
        </is>
      </c>
      <c r="C260" t="inlineStr">
        <is>
          <t>Föryngringsavverkning</t>
        </is>
      </c>
      <c r="D260" s="1" t="n">
        <v>45583</v>
      </c>
      <c r="E260" s="1" t="n">
        <v>46216</v>
      </c>
      <c r="F260" t="inlineStr">
        <is>
          <t>JÖNKÖPINGS LÄN</t>
        </is>
      </c>
      <c r="G260" t="inlineStr">
        <is>
          <t>TRANÅS</t>
        </is>
      </c>
      <c r="I260" t="n">
        <v>6.8</v>
      </c>
      <c r="J260" t="n">
        <v>0</v>
      </c>
      <c r="K260" t="n">
        <v>0</v>
      </c>
      <c r="L260" t="n">
        <v>0</v>
      </c>
      <c r="M260" t="n">
        <v>0</v>
      </c>
      <c r="N260" t="n">
        <v>0</v>
      </c>
      <c r="O260" t="n">
        <v>0</v>
      </c>
      <c r="P260" t="n">
        <v>0</v>
      </c>
      <c r="Q260" t="n">
        <v>0</v>
      </c>
      <c r="R260" t="n">
        <v>0</v>
      </c>
      <c r="S260" t="n">
        <v>0</v>
      </c>
      <c r="T260" t="n">
        <v>0</v>
      </c>
      <c r="U260" s="2" t="inlineStr"/>
    </row>
    <row r="261" ht="15" customHeight="1">
      <c r="A261" t="inlineStr">
        <is>
          <t>A 12474-2024</t>
        </is>
      </c>
      <c r="B261" t="inlineStr">
        <is>
          <t>avverkningsanmälan</t>
        </is>
      </c>
      <c r="C261" t="inlineStr">
        <is>
          <t>Föryngringsavverkning</t>
        </is>
      </c>
      <c r="D261" s="1" t="n">
        <v>45379</v>
      </c>
      <c r="E261" s="1" t="n">
        <v>46216</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12476-2024</t>
        </is>
      </c>
      <c r="B262" t="inlineStr">
        <is>
          <t>avverkningsanmälan</t>
        </is>
      </c>
      <c r="C262" t="inlineStr">
        <is>
          <t>Föryngringsavverkning</t>
        </is>
      </c>
      <c r="D262" s="1" t="n">
        <v>45379</v>
      </c>
      <c r="E262" s="1" t="n">
        <v>46216</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54791-2023</t>
        </is>
      </c>
      <c r="B263" t="inlineStr">
        <is>
          <t>avverkningsanmälan</t>
        </is>
      </c>
      <c r="C263" t="inlineStr">
        <is>
          <t>Föryngringsavverkning</t>
        </is>
      </c>
      <c r="D263" s="1" t="n">
        <v>45229</v>
      </c>
      <c r="E263" s="1" t="n">
        <v>46216</v>
      </c>
      <c r="F263" t="inlineStr">
        <is>
          <t>JÖNKÖPINGS LÄN</t>
        </is>
      </c>
      <c r="G263" t="inlineStr">
        <is>
          <t>TRANÅS</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10453-2025</t>
        </is>
      </c>
      <c r="B264" t="inlineStr">
        <is>
          <t>avverkningsanmälan</t>
        </is>
      </c>
      <c r="C264" t="inlineStr">
        <is>
          <t>Föryngringsavverkning</t>
        </is>
      </c>
      <c r="D264" s="1" t="n">
        <v>45720</v>
      </c>
      <c r="E264" s="1" t="n">
        <v>46216</v>
      </c>
      <c r="F264" t="inlineStr">
        <is>
          <t>JÖNKÖPINGS LÄN</t>
        </is>
      </c>
      <c r="G264" t="inlineStr">
        <is>
          <t>TRANÅS</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20810-2025</t>
        </is>
      </c>
      <c r="B265" t="inlineStr">
        <is>
          <t>avverkningsanmälan</t>
        </is>
      </c>
      <c r="C265" t="inlineStr">
        <is>
          <t>Föryngringsavverkning</t>
        </is>
      </c>
      <c r="D265" s="1" t="n">
        <v>45776</v>
      </c>
      <c r="E265" s="1" t="n">
        <v>46216</v>
      </c>
      <c r="F265" t="inlineStr">
        <is>
          <t>JÖNKÖPINGS LÄN</t>
        </is>
      </c>
      <c r="G265" t="inlineStr">
        <is>
          <t>TRANÅS</t>
        </is>
      </c>
      <c r="H265" t="inlineStr">
        <is>
          <t>Allmännings- och besparingsskogar</t>
        </is>
      </c>
      <c r="I265" t="n">
        <v>13.8</v>
      </c>
      <c r="J265" t="n">
        <v>0</v>
      </c>
      <c r="K265" t="n">
        <v>0</v>
      </c>
      <c r="L265" t="n">
        <v>0</v>
      </c>
      <c r="M265" t="n">
        <v>0</v>
      </c>
      <c r="N265" t="n">
        <v>0</v>
      </c>
      <c r="O265" t="n">
        <v>0</v>
      </c>
      <c r="P265" t="n">
        <v>0</v>
      </c>
      <c r="Q265" t="n">
        <v>0</v>
      </c>
      <c r="R265" t="n">
        <v>0</v>
      </c>
      <c r="S265" t="n">
        <v>0</v>
      </c>
      <c r="T265" t="n">
        <v>0</v>
      </c>
      <c r="U265" s="2" t="inlineStr"/>
    </row>
    <row r="266" ht="15" customHeight="1">
      <c r="A266" t="inlineStr">
        <is>
          <t>A 20625-2025</t>
        </is>
      </c>
      <c r="B266" t="inlineStr">
        <is>
          <t>avverkningsanmälan</t>
        </is>
      </c>
      <c r="C266" t="inlineStr">
        <is>
          <t>Avverkning för annat ändamål</t>
        </is>
      </c>
      <c r="D266" s="1" t="n">
        <v>45776</v>
      </c>
      <c r="E266" s="1" t="n">
        <v>46216</v>
      </c>
      <c r="F266" t="inlineStr">
        <is>
          <t>JÖNKÖPINGS LÄN</t>
        </is>
      </c>
      <c r="G266" t="inlineStr">
        <is>
          <t>TRANÅS</t>
        </is>
      </c>
      <c r="I266" t="n">
        <v>3.3</v>
      </c>
      <c r="J266" t="n">
        <v>0</v>
      </c>
      <c r="K266" t="n">
        <v>0</v>
      </c>
      <c r="L266" t="n">
        <v>0</v>
      </c>
      <c r="M266" t="n">
        <v>0</v>
      </c>
      <c r="N266" t="n">
        <v>0</v>
      </c>
      <c r="O266" t="n">
        <v>0</v>
      </c>
      <c r="P266" t="n">
        <v>0</v>
      </c>
      <c r="Q266" t="n">
        <v>0</v>
      </c>
      <c r="R266" t="n">
        <v>0</v>
      </c>
      <c r="S266" t="n">
        <v>0</v>
      </c>
      <c r="T266" t="n">
        <v>0</v>
      </c>
      <c r="U266" s="2" t="inlineStr"/>
    </row>
    <row r="267" ht="15" customHeight="1">
      <c r="A267" t="inlineStr">
        <is>
          <t>A 30647-2024</t>
        </is>
      </c>
      <c r="B267" t="inlineStr">
        <is>
          <t>avverkningsanmälan</t>
        </is>
      </c>
      <c r="C267" t="inlineStr">
        <is>
          <t>Föryngringsavverkning</t>
        </is>
      </c>
      <c r="D267" s="1" t="n">
        <v>45495</v>
      </c>
      <c r="E267" s="1" t="n">
        <v>46216</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22430-2025</t>
        </is>
      </c>
      <c r="B268" t="inlineStr">
        <is>
          <t>avverkningsanmälan</t>
        </is>
      </c>
      <c r="C268" t="inlineStr">
        <is>
          <t>Föryngringsavverkning</t>
        </is>
      </c>
      <c r="D268" s="1" t="n">
        <v>45786</v>
      </c>
      <c r="E268" s="1" t="n">
        <v>46216</v>
      </c>
      <c r="F268" t="inlineStr">
        <is>
          <t>JÖNKÖPINGS LÄN</t>
        </is>
      </c>
      <c r="G268" t="inlineStr">
        <is>
          <t>TRANÅS</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22620-2025</t>
        </is>
      </c>
      <c r="B269" t="inlineStr">
        <is>
          <t>avverkningsanmälan</t>
        </is>
      </c>
      <c r="C269" t="inlineStr">
        <is>
          <t>Föryngringsavverkning</t>
        </is>
      </c>
      <c r="D269" s="1" t="n">
        <v>45789</v>
      </c>
      <c r="E269" s="1" t="n">
        <v>46216</v>
      </c>
      <c r="F269" t="inlineStr">
        <is>
          <t>JÖNKÖPINGS LÄN</t>
        </is>
      </c>
      <c r="G269" t="inlineStr">
        <is>
          <t>TRANÅS</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20990-2024</t>
        </is>
      </c>
      <c r="B270" t="inlineStr">
        <is>
          <t>avverkningsanmälan</t>
        </is>
      </c>
      <c r="C270" t="inlineStr">
        <is>
          <t>Avverkning för annat ändamål</t>
        </is>
      </c>
      <c r="D270" s="1" t="n">
        <v>45439</v>
      </c>
      <c r="E270" s="1" t="n">
        <v>46216</v>
      </c>
      <c r="F270" t="inlineStr">
        <is>
          <t>JÖNKÖPINGS LÄN</t>
        </is>
      </c>
      <c r="G270" t="inlineStr">
        <is>
          <t>TRANÅS</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33213-2023</t>
        </is>
      </c>
      <c r="B271" t="inlineStr">
        <is>
          <t>avverkningsanmälan</t>
        </is>
      </c>
      <c r="C271" t="inlineStr">
        <is>
          <t>Föryngringsavverkning</t>
        </is>
      </c>
      <c r="D271" s="1" t="n">
        <v>45114</v>
      </c>
      <c r="E271" s="1" t="n">
        <v>46216</v>
      </c>
      <c r="F271" t="inlineStr">
        <is>
          <t>JÖNKÖPINGS LÄN</t>
        </is>
      </c>
      <c r="G271" t="inlineStr">
        <is>
          <t>TRANÅS</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39648-2024</t>
        </is>
      </c>
      <c r="B272" t="inlineStr">
        <is>
          <t>avverkningsanmälan</t>
        </is>
      </c>
      <c r="C272" t="inlineStr">
        <is>
          <t>Föryngringsavverkning</t>
        </is>
      </c>
      <c r="D272" s="1" t="n">
        <v>45552</v>
      </c>
      <c r="E272" s="1" t="n">
        <v>46216</v>
      </c>
      <c r="F272" t="inlineStr">
        <is>
          <t>JÖNKÖPINGS LÄN</t>
        </is>
      </c>
      <c r="G272" t="inlineStr">
        <is>
          <t>TRANÅS</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62578-2023</t>
        </is>
      </c>
      <c r="B273" t="inlineStr">
        <is>
          <t>avverkningsanmälan</t>
        </is>
      </c>
      <c r="C273" t="inlineStr">
        <is>
          <t>Föryngringsavverkning</t>
        </is>
      </c>
      <c r="D273" s="1" t="n">
        <v>45270</v>
      </c>
      <c r="E273" s="1" t="n">
        <v>46216</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17077-2025</t>
        </is>
      </c>
      <c r="B274" t="inlineStr">
        <is>
          <t>avverkningsanmälan</t>
        </is>
      </c>
      <c r="C274" t="inlineStr">
        <is>
          <t>Föryngringsavverkning</t>
        </is>
      </c>
      <c r="D274" s="1" t="n">
        <v>45754</v>
      </c>
      <c r="E274" s="1" t="n">
        <v>46216</v>
      </c>
      <c r="F274" t="inlineStr">
        <is>
          <t>JÖNKÖPINGS LÄN</t>
        </is>
      </c>
      <c r="G274" t="inlineStr">
        <is>
          <t>TRANÅS</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13581-2025</t>
        </is>
      </c>
      <c r="B275" t="inlineStr">
        <is>
          <t>avverkningsanmälan</t>
        </is>
      </c>
      <c r="C275" t="inlineStr">
        <is>
          <t>Föryngringsavverkning</t>
        </is>
      </c>
      <c r="D275" s="1" t="n">
        <v>45736</v>
      </c>
      <c r="E275" s="1" t="n">
        <v>46216</v>
      </c>
      <c r="F275" t="inlineStr">
        <is>
          <t>JÖNKÖPINGS LÄN</t>
        </is>
      </c>
      <c r="G275" t="inlineStr">
        <is>
          <t>TRANÅS</t>
        </is>
      </c>
      <c r="I275" t="n">
        <v>5.5</v>
      </c>
      <c r="J275" t="n">
        <v>0</v>
      </c>
      <c r="K275" t="n">
        <v>0</v>
      </c>
      <c r="L275" t="n">
        <v>0</v>
      </c>
      <c r="M275" t="n">
        <v>0</v>
      </c>
      <c r="N275" t="n">
        <v>0</v>
      </c>
      <c r="O275" t="n">
        <v>0</v>
      </c>
      <c r="P275" t="n">
        <v>0</v>
      </c>
      <c r="Q275" t="n">
        <v>0</v>
      </c>
      <c r="R275" t="n">
        <v>0</v>
      </c>
      <c r="S275" t="n">
        <v>0</v>
      </c>
      <c r="T275" t="n">
        <v>0</v>
      </c>
      <c r="U275" s="2" t="inlineStr"/>
    </row>
    <row r="276" ht="15" customHeight="1">
      <c r="A276" t="inlineStr">
        <is>
          <t>S 1292-2023</t>
        </is>
      </c>
      <c r="B276" t="inlineStr">
        <is>
          <t>samrådsanmälan</t>
        </is>
      </c>
      <c r="C276" t="inlineStr">
        <is>
          <t>Askåterföring</t>
        </is>
      </c>
      <c r="D276" s="1" t="n">
        <v>45030</v>
      </c>
      <c r="E276" s="1" t="n">
        <v>46216</v>
      </c>
      <c r="F276" t="inlineStr">
        <is>
          <t>JÖNKÖPINGS LÄN</t>
        </is>
      </c>
      <c r="G276" t="inlineStr">
        <is>
          <t>TRANÅS</t>
        </is>
      </c>
      <c r="I276" t="n">
        <v>28.8</v>
      </c>
      <c r="J276" t="n">
        <v>0</v>
      </c>
      <c r="K276" t="n">
        <v>0</v>
      </c>
      <c r="L276" t="n">
        <v>0</v>
      </c>
      <c r="M276" t="n">
        <v>0</v>
      </c>
      <c r="N276" t="n">
        <v>0</v>
      </c>
      <c r="O276" t="n">
        <v>0</v>
      </c>
      <c r="P276" t="n">
        <v>0</v>
      </c>
      <c r="Q276" t="n">
        <v>0</v>
      </c>
      <c r="R276" t="n">
        <v>0</v>
      </c>
      <c r="S276" t="n">
        <v>0</v>
      </c>
      <c r="T276" t="n">
        <v>0</v>
      </c>
      <c r="U276" s="2" t="inlineStr"/>
    </row>
    <row r="277" ht="15" customHeight="1">
      <c r="A277" t="inlineStr">
        <is>
          <t>S 1793-2022</t>
        </is>
      </c>
      <c r="B277" t="inlineStr">
        <is>
          <t>samrådsanmälan</t>
        </is>
      </c>
      <c r="C277" t="inlineStr">
        <is>
          <t>Åtgärd i nyckelbiotop</t>
        </is>
      </c>
      <c r="D277" s="1" t="n">
        <v>44655</v>
      </c>
      <c r="E277" s="1" t="n">
        <v>46216</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1264-2023</t>
        </is>
      </c>
      <c r="B278" t="inlineStr">
        <is>
          <t>samrådsanmälan</t>
        </is>
      </c>
      <c r="C278" t="inlineStr">
        <is>
          <t>Askåterföring</t>
        </is>
      </c>
      <c r="D278" s="1" t="n">
        <v>45029</v>
      </c>
      <c r="E278" s="1" t="n">
        <v>46216</v>
      </c>
      <c r="F278" t="inlineStr">
        <is>
          <t>JÖNKÖPINGS LÄN</t>
        </is>
      </c>
      <c r="G278" t="inlineStr">
        <is>
          <t>TRANÅS</t>
        </is>
      </c>
      <c r="I278" t="n">
        <v>48.7</v>
      </c>
      <c r="J278" t="n">
        <v>0</v>
      </c>
      <c r="K278" t="n">
        <v>0</v>
      </c>
      <c r="L278" t="n">
        <v>0</v>
      </c>
      <c r="M278" t="n">
        <v>0</v>
      </c>
      <c r="N278" t="n">
        <v>0</v>
      </c>
      <c r="O278" t="n">
        <v>0</v>
      </c>
      <c r="P278" t="n">
        <v>0</v>
      </c>
      <c r="Q278" t="n">
        <v>0</v>
      </c>
      <c r="R278" t="n">
        <v>0</v>
      </c>
      <c r="S278" t="n">
        <v>0</v>
      </c>
      <c r="T278" t="n">
        <v>0</v>
      </c>
      <c r="U278" s="2" t="inlineStr"/>
    </row>
    <row r="279" ht="15" customHeight="1">
      <c r="A279" t="inlineStr">
        <is>
          <t>S 4534-2021</t>
        </is>
      </c>
      <c r="B279" t="inlineStr">
        <is>
          <t>samrådsanmälan</t>
        </is>
      </c>
      <c r="C279" t="inlineStr">
        <is>
          <t>Annan skogsbruksåtgärd</t>
        </is>
      </c>
      <c r="D279" s="1" t="n">
        <v>44403</v>
      </c>
      <c r="E279" s="1" t="n">
        <v>46216</v>
      </c>
      <c r="F279" t="inlineStr">
        <is>
          <t>JÖNKÖPINGS LÄN</t>
        </is>
      </c>
      <c r="G279" t="inlineStr">
        <is>
          <t>TRANÅS</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S 1894-2023</t>
        </is>
      </c>
      <c r="B280" t="inlineStr">
        <is>
          <t>samrådsanmälan</t>
        </is>
      </c>
      <c r="C280" t="inlineStr">
        <is>
          <t>Askåterföring</t>
        </is>
      </c>
      <c r="D280" s="1" t="n">
        <v>45077</v>
      </c>
      <c r="E280" s="1" t="n">
        <v>46216</v>
      </c>
      <c r="F280" t="inlineStr">
        <is>
          <t>JÖNKÖPINGS LÄN</t>
        </is>
      </c>
      <c r="G280" t="inlineStr">
        <is>
          <t>TRANÅS</t>
        </is>
      </c>
      <c r="I280" t="n">
        <v>5.4</v>
      </c>
      <c r="J280" t="n">
        <v>0</v>
      </c>
      <c r="K280" t="n">
        <v>0</v>
      </c>
      <c r="L280" t="n">
        <v>0</v>
      </c>
      <c r="M280" t="n">
        <v>0</v>
      </c>
      <c r="N280" t="n">
        <v>0</v>
      </c>
      <c r="O280" t="n">
        <v>0</v>
      </c>
      <c r="P280" t="n">
        <v>0</v>
      </c>
      <c r="Q280" t="n">
        <v>0</v>
      </c>
      <c r="R280" t="n">
        <v>0</v>
      </c>
      <c r="S280" t="n">
        <v>0</v>
      </c>
      <c r="T280" t="n">
        <v>0</v>
      </c>
      <c r="U280" s="2" t="inlineStr"/>
    </row>
    <row r="281" ht="15" customHeight="1">
      <c r="A281" t="inlineStr">
        <is>
          <t>S 8486-2021</t>
        </is>
      </c>
      <c r="B281" t="inlineStr">
        <is>
          <t>samrådsanmälan</t>
        </is>
      </c>
      <c r="C281" t="inlineStr">
        <is>
          <t>Åtgärd i nyckelbiotop</t>
        </is>
      </c>
      <c r="D281" s="1" t="n">
        <v>44498</v>
      </c>
      <c r="E281" s="1" t="n">
        <v>46216</v>
      </c>
      <c r="F281" t="inlineStr">
        <is>
          <t>JÖNKÖPINGS LÄN</t>
        </is>
      </c>
      <c r="G281" t="inlineStr">
        <is>
          <t>TRANÅS</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S 1062-2024</t>
        </is>
      </c>
      <c r="B282" t="inlineStr">
        <is>
          <t>samrådsanmälan</t>
        </is>
      </c>
      <c r="C282" t="inlineStr">
        <is>
          <t>Askåterföring</t>
        </is>
      </c>
      <c r="D282" s="1" t="n">
        <v>45387</v>
      </c>
      <c r="E282" s="1" t="n">
        <v>46216</v>
      </c>
      <c r="F282" t="inlineStr">
        <is>
          <t>JÖNKÖPINGS LÄN</t>
        </is>
      </c>
      <c r="G282" t="inlineStr">
        <is>
          <t>TRANÅS</t>
        </is>
      </c>
      <c r="I282" t="n">
        <v>5.6</v>
      </c>
      <c r="J282" t="n">
        <v>0</v>
      </c>
      <c r="K282" t="n">
        <v>0</v>
      </c>
      <c r="L282" t="n">
        <v>0</v>
      </c>
      <c r="M282" t="n">
        <v>0</v>
      </c>
      <c r="N282" t="n">
        <v>0</v>
      </c>
      <c r="O282" t="n">
        <v>0</v>
      </c>
      <c r="P282" t="n">
        <v>0</v>
      </c>
      <c r="Q282" t="n">
        <v>0</v>
      </c>
      <c r="R282" t="n">
        <v>0</v>
      </c>
      <c r="S282" t="n">
        <v>0</v>
      </c>
      <c r="T282" t="n">
        <v>0</v>
      </c>
      <c r="U282" s="2" t="inlineStr"/>
    </row>
    <row r="283" ht="15" customHeight="1">
      <c r="A283" t="inlineStr">
        <is>
          <t>S 3362-2025</t>
        </is>
      </c>
      <c r="B283" t="inlineStr">
        <is>
          <t>samrådsanmälan</t>
        </is>
      </c>
      <c r="C283" t="inlineStr">
        <is>
          <t>Annan skogsbruksåtgärd</t>
        </is>
      </c>
      <c r="D283" s="1" t="n">
        <v>45992</v>
      </c>
      <c r="E283" s="1" t="n">
        <v>46216</v>
      </c>
      <c r="F283" t="inlineStr">
        <is>
          <t>JÖNKÖPINGS LÄN</t>
        </is>
      </c>
      <c r="G283" t="inlineStr">
        <is>
          <t>TRANÅS</t>
        </is>
      </c>
      <c r="I283" t="n">
        <v>1.7</v>
      </c>
      <c r="J283" t="n">
        <v>0</v>
      </c>
      <c r="K283" t="n">
        <v>0</v>
      </c>
      <c r="L283" t="n">
        <v>0</v>
      </c>
      <c r="M283" t="n">
        <v>0</v>
      </c>
      <c r="N283" t="n">
        <v>0</v>
      </c>
      <c r="O283" t="n">
        <v>0</v>
      </c>
      <c r="P283" t="n">
        <v>0</v>
      </c>
      <c r="Q283" t="n">
        <v>0</v>
      </c>
      <c r="R283" t="n">
        <v>0</v>
      </c>
      <c r="S283" t="n">
        <v>0</v>
      </c>
      <c r="T283" t="n">
        <v>0</v>
      </c>
      <c r="U283" s="2" t="inlineStr"/>
    </row>
    <row r="284">
      <c r="A284" t="inlineStr">
        <is>
          <t>S 179-2026</t>
        </is>
      </c>
      <c r="B284" t="inlineStr">
        <is>
          <t>samrådsanmälan</t>
        </is>
      </c>
      <c r="C284" t="inlineStr">
        <is>
          <t>Annan skogsbruksåtgärd</t>
        </is>
      </c>
      <c r="D284" s="1" t="n">
        <v>46045</v>
      </c>
      <c r="E284" s="1" t="n">
        <v>46216</v>
      </c>
      <c r="F284" t="inlineStr">
        <is>
          <t>JÖNKÖPINGS LÄN</t>
        </is>
      </c>
      <c r="G284" t="inlineStr">
        <is>
          <t>TRANÅS</t>
        </is>
      </c>
      <c r="I284" t="n">
        <v>4.6</v>
      </c>
      <c r="J284" t="n">
        <v>0</v>
      </c>
      <c r="K284" t="n">
        <v>0</v>
      </c>
      <c r="L284" t="n">
        <v>0</v>
      </c>
      <c r="M284" t="n">
        <v>0</v>
      </c>
      <c r="N284" t="n">
        <v>0</v>
      </c>
      <c r="O284" t="n">
        <v>0</v>
      </c>
      <c r="P284" t="n">
        <v>0</v>
      </c>
      <c r="Q284" t="n">
        <v>0</v>
      </c>
      <c r="R284" t="n">
        <v>0</v>
      </c>
      <c r="S284" t="n">
        <v>0</v>
      </c>
      <c r="T284" t="n">
        <v>0</v>
      </c>
      <c r="U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2026-07-13T14:47:56Z</dcterms:created>
  <dcterms:modified xmlns:dcterms="http://purl.org/dc/terms/" xmlns:xsi="http://www.w3.org/2001/XMLSchema-instance" xsi:type="dcterms:W3CDTF">2026-07-13T14:47:57Z</dcterms:modified>
</cp:coreProperties>
</file>