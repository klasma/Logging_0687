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286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10495-2026</t>
        </is>
      </c>
      <c r="B2" s="1" t="n">
        <v>46077</v>
      </c>
      <c r="C2" s="1" t="n">
        <v>46195</v>
      </c>
      <c r="D2" t="inlineStr">
        <is>
          <t>JÖNKÖPINGS LÄN</t>
        </is>
      </c>
      <c r="E2" t="inlineStr">
        <is>
          <t>TRANÅS</t>
        </is>
      </c>
      <c r="G2" t="n">
        <v>1.8</v>
      </c>
      <c r="H2" t="n">
        <v>0</v>
      </c>
      <c r="I2" t="n">
        <v>9</v>
      </c>
      <c r="J2" t="n">
        <v>2</v>
      </c>
      <c r="K2" t="n">
        <v>1</v>
      </c>
      <c r="L2" t="n">
        <v>0</v>
      </c>
      <c r="M2" t="n">
        <v>0</v>
      </c>
      <c r="N2" t="n">
        <v>0</v>
      </c>
      <c r="O2" t="n">
        <v>3</v>
      </c>
      <c r="P2" t="n">
        <v>1</v>
      </c>
      <c r="Q2" t="n">
        <v>12</v>
      </c>
      <c r="R2" s="2" t="inlineStr">
        <is>
          <t>Gulvit blekspik
Gammelekslav
Scharlakansvaxing
Brun nållav
Grå skärelav
Guldlockmossa
Gulnål
Kornig nållav
Lindskål
Lönnlav
Rävticka
Trubbfjädermossa</t>
        </is>
      </c>
      <c r="S2">
        <f>HYPERLINK("https://klasma.github.io/Logging_0687/artfynd/A 10495-2026 artfynd.xlsx", "A 10495-2026")</f>
        <v/>
      </c>
      <c r="T2">
        <f>HYPERLINK("https://klasma.github.io/Logging_0687/kartor/A 10495-2026 karta.png", "A 10495-2026")</f>
        <v/>
      </c>
      <c r="V2">
        <f>HYPERLINK("https://klasma.github.io/Logging_0687/klagomål/A 10495-2026 FSC-klagomål.docx", "A 10495-2026")</f>
        <v/>
      </c>
      <c r="W2">
        <f>HYPERLINK("https://klasma.github.io/Logging_0687/klagomålsmail/A 10495-2026 FSC-klagomål mail.docx", "A 10495-2026")</f>
        <v/>
      </c>
      <c r="X2">
        <f>HYPERLINK("https://klasma.github.io/Logging_0687/tillsyn/A 10495-2026 tillsynsbegäran.docx", "A 10495-2026")</f>
        <v/>
      </c>
      <c r="Y2">
        <f>HYPERLINK("https://klasma.github.io/Logging_0687/tillsynsmail/A 10495-2026 tillsynsbegäran mail.docx", "A 10495-2026")</f>
        <v/>
      </c>
    </row>
    <row r="3" ht="15" customHeight="1">
      <c r="A3" t="inlineStr">
        <is>
          <t>A 38452-2023</t>
        </is>
      </c>
      <c r="B3" s="1" t="n">
        <v>45162</v>
      </c>
      <c r="C3" s="1" t="n">
        <v>46195</v>
      </c>
      <c r="D3" t="inlineStr">
        <is>
          <t>JÖNKÖPINGS LÄN</t>
        </is>
      </c>
      <c r="E3" t="inlineStr">
        <is>
          <t>TRANÅS</t>
        </is>
      </c>
      <c r="G3" t="n">
        <v>2.2</v>
      </c>
      <c r="H3" t="n">
        <v>2</v>
      </c>
      <c r="I3" t="n">
        <v>1</v>
      </c>
      <c r="J3" t="n">
        <v>0</v>
      </c>
      <c r="K3" t="n">
        <v>1</v>
      </c>
      <c r="L3" t="n">
        <v>1</v>
      </c>
      <c r="M3" t="n">
        <v>0</v>
      </c>
      <c r="N3" t="n">
        <v>0</v>
      </c>
      <c r="O3" t="n">
        <v>2</v>
      </c>
      <c r="P3" t="n">
        <v>2</v>
      </c>
      <c r="Q3" t="n">
        <v>5</v>
      </c>
      <c r="R3" s="2" t="inlineStr">
        <is>
          <t>Ask
Liten blekspik
Svart trolldruva
Blåsippa
Grönvit nattviol</t>
        </is>
      </c>
      <c r="S3">
        <f>HYPERLINK("https://klasma.github.io/Logging_0687/artfynd/A 38452-2023 artfynd.xlsx", "A 38452-2023")</f>
        <v/>
      </c>
      <c r="T3">
        <f>HYPERLINK("https://klasma.github.io/Logging_0687/kartor/A 38452-2023 karta.png", "A 38452-2023")</f>
        <v/>
      </c>
      <c r="V3">
        <f>HYPERLINK("https://klasma.github.io/Logging_0687/klagomål/A 38452-2023 FSC-klagomål.docx", "A 38452-2023")</f>
        <v/>
      </c>
      <c r="W3">
        <f>HYPERLINK("https://klasma.github.io/Logging_0687/klagomålsmail/A 38452-2023 FSC-klagomål mail.docx", "A 38452-2023")</f>
        <v/>
      </c>
      <c r="X3">
        <f>HYPERLINK("https://klasma.github.io/Logging_0687/tillsyn/A 38452-2023 tillsynsbegäran.docx", "A 38452-2023")</f>
        <v/>
      </c>
      <c r="Y3">
        <f>HYPERLINK("https://klasma.github.io/Logging_0687/tillsynsmail/A 38452-2023 tillsynsbegäran mail.docx", "A 38452-2023")</f>
        <v/>
      </c>
    </row>
    <row r="4" ht="15" customHeight="1">
      <c r="A4" t="inlineStr">
        <is>
          <t>A 4529-2024</t>
        </is>
      </c>
      <c r="B4" s="1" t="n">
        <v>45327</v>
      </c>
      <c r="C4" s="1" t="n">
        <v>46195</v>
      </c>
      <c r="D4" t="inlineStr">
        <is>
          <t>JÖNKÖPINGS LÄN</t>
        </is>
      </c>
      <c r="E4" t="inlineStr">
        <is>
          <t>TRANÅS</t>
        </is>
      </c>
      <c r="F4" t="inlineStr">
        <is>
          <t>Allmännings- och besparingsskogar</t>
        </is>
      </c>
      <c r="G4" t="n">
        <v>7.1</v>
      </c>
      <c r="H4" t="n">
        <v>3</v>
      </c>
      <c r="I4" t="n">
        <v>1</v>
      </c>
      <c r="J4" t="n">
        <v>0</v>
      </c>
      <c r="K4" t="n">
        <v>1</v>
      </c>
      <c r="L4" t="n">
        <v>0</v>
      </c>
      <c r="M4" t="n">
        <v>0</v>
      </c>
      <c r="N4" t="n">
        <v>0</v>
      </c>
      <c r="O4" t="n">
        <v>1</v>
      </c>
      <c r="P4" t="n">
        <v>1</v>
      </c>
      <c r="Q4" t="n">
        <v>4</v>
      </c>
      <c r="R4" s="2" t="inlineStr">
        <is>
          <t>Knärot
Grönpyrola
Lopplummer (aggregat)
Revlummer</t>
        </is>
      </c>
      <c r="S4">
        <f>HYPERLINK("https://klasma.github.io/Logging_0687/artfynd/A 4529-2024 artfynd.xlsx", "A 4529-2024")</f>
        <v/>
      </c>
      <c r="T4">
        <f>HYPERLINK("https://klasma.github.io/Logging_0687/kartor/A 4529-2024 karta.png", "A 4529-2024")</f>
        <v/>
      </c>
      <c r="U4">
        <f>HYPERLINK("https://klasma.github.io/Logging_0687/knärot/A 4529-2024 karta knärot.png", "A 4529-2024")</f>
        <v/>
      </c>
      <c r="V4">
        <f>HYPERLINK("https://klasma.github.io/Logging_0687/klagomål/A 4529-2024 FSC-klagomål.docx", "A 4529-2024")</f>
        <v/>
      </c>
      <c r="W4">
        <f>HYPERLINK("https://klasma.github.io/Logging_0687/klagomålsmail/A 4529-2024 FSC-klagomål mail.docx", "A 4529-2024")</f>
        <v/>
      </c>
      <c r="X4">
        <f>HYPERLINK("https://klasma.github.io/Logging_0687/tillsyn/A 4529-2024 tillsynsbegäran.docx", "A 4529-2024")</f>
        <v/>
      </c>
      <c r="Y4">
        <f>HYPERLINK("https://klasma.github.io/Logging_0687/tillsynsmail/A 4529-2024 tillsynsbegäran mail.docx", "A 4529-2024")</f>
        <v/>
      </c>
    </row>
    <row r="5" ht="15" customHeight="1">
      <c r="A5" t="inlineStr">
        <is>
          <t>A 46324-2025</t>
        </is>
      </c>
      <c r="B5" s="1" t="n">
        <v>45925</v>
      </c>
      <c r="C5" s="1" t="n">
        <v>46195</v>
      </c>
      <c r="D5" t="inlineStr">
        <is>
          <t>JÖNKÖPINGS LÄN</t>
        </is>
      </c>
      <c r="E5" t="inlineStr">
        <is>
          <t>TRANÅS</t>
        </is>
      </c>
      <c r="F5" t="inlineStr">
        <is>
          <t>Allmännings- och besparingsskogar</t>
        </is>
      </c>
      <c r="G5" t="n">
        <v>9.800000000000001</v>
      </c>
      <c r="H5" t="n">
        <v>4</v>
      </c>
      <c r="I5" t="n">
        <v>0</v>
      </c>
      <c r="J5" t="n">
        <v>2</v>
      </c>
      <c r="K5" t="n">
        <v>0</v>
      </c>
      <c r="L5" t="n">
        <v>0</v>
      </c>
      <c r="M5" t="n">
        <v>0</v>
      </c>
      <c r="N5" t="n">
        <v>0</v>
      </c>
      <c r="O5" t="n">
        <v>2</v>
      </c>
      <c r="P5" t="n">
        <v>0</v>
      </c>
      <c r="Q5" t="n">
        <v>4</v>
      </c>
      <c r="R5" s="2" t="inlineStr">
        <is>
          <t>Enkelbeckasin
Talltita
Tjäder
Kungsfågel</t>
        </is>
      </c>
      <c r="S5">
        <f>HYPERLINK("https://klasma.github.io/Logging_0687/artfynd/A 46324-2025 artfynd.xlsx", "A 46324-2025")</f>
        <v/>
      </c>
      <c r="T5">
        <f>HYPERLINK("https://klasma.github.io/Logging_0687/kartor/A 46324-2025 karta.png", "A 46324-2025")</f>
        <v/>
      </c>
      <c r="V5">
        <f>HYPERLINK("https://klasma.github.io/Logging_0687/klagomål/A 46324-2025 FSC-klagomål.docx", "A 46324-2025")</f>
        <v/>
      </c>
      <c r="W5">
        <f>HYPERLINK("https://klasma.github.io/Logging_0687/klagomålsmail/A 46324-2025 FSC-klagomål mail.docx", "A 46324-2025")</f>
        <v/>
      </c>
      <c r="X5">
        <f>HYPERLINK("https://klasma.github.io/Logging_0687/tillsyn/A 46324-2025 tillsynsbegäran.docx", "A 46324-2025")</f>
        <v/>
      </c>
      <c r="Y5">
        <f>HYPERLINK("https://klasma.github.io/Logging_0687/tillsynsmail/A 46324-2025 tillsynsbegäran mail.docx", "A 46324-2025")</f>
        <v/>
      </c>
      <c r="Z5">
        <f>HYPERLINK("https://klasma.github.io/Logging_0687/fåglar/A 46324-2025 prioriterade fågelarter.docx", "A 46324-2025")</f>
        <v/>
      </c>
    </row>
    <row r="6" ht="15" customHeight="1">
      <c r="A6" t="inlineStr">
        <is>
          <t>A 39976-2024</t>
        </is>
      </c>
      <c r="B6" s="1" t="n">
        <v>45553</v>
      </c>
      <c r="C6" s="1" t="n">
        <v>46195</v>
      </c>
      <c r="D6" t="inlineStr">
        <is>
          <t>JÖNKÖPINGS LÄN</t>
        </is>
      </c>
      <c r="E6" t="inlineStr">
        <is>
          <t>TRANÅS</t>
        </is>
      </c>
      <c r="G6" t="n">
        <v>4.4</v>
      </c>
      <c r="H6" t="n">
        <v>1</v>
      </c>
      <c r="I6" t="n">
        <v>2</v>
      </c>
      <c r="J6" t="n">
        <v>1</v>
      </c>
      <c r="K6" t="n">
        <v>0</v>
      </c>
      <c r="L6" t="n">
        <v>0</v>
      </c>
      <c r="M6" t="n">
        <v>0</v>
      </c>
      <c r="N6" t="n">
        <v>0</v>
      </c>
      <c r="O6" t="n">
        <v>1</v>
      </c>
      <c r="P6" t="n">
        <v>0</v>
      </c>
      <c r="Q6" t="n">
        <v>4</v>
      </c>
      <c r="R6" s="2" t="inlineStr">
        <is>
          <t>Vårärt
Strutbräken
Vätteros
Blåsippa</t>
        </is>
      </c>
      <c r="S6">
        <f>HYPERLINK("https://klasma.github.io/Logging_0687/artfynd/A 39976-2024 artfynd.xlsx", "A 39976-2024")</f>
        <v/>
      </c>
      <c r="T6">
        <f>HYPERLINK("https://klasma.github.io/Logging_0687/kartor/A 39976-2024 karta.png", "A 39976-2024")</f>
        <v/>
      </c>
      <c r="V6">
        <f>HYPERLINK("https://klasma.github.io/Logging_0687/klagomål/A 39976-2024 FSC-klagomål.docx", "A 39976-2024")</f>
        <v/>
      </c>
      <c r="W6">
        <f>HYPERLINK("https://klasma.github.io/Logging_0687/klagomålsmail/A 39976-2024 FSC-klagomål mail.docx", "A 39976-2024")</f>
        <v/>
      </c>
      <c r="X6">
        <f>HYPERLINK("https://klasma.github.io/Logging_0687/tillsyn/A 39976-2024 tillsynsbegäran.docx", "A 39976-2024")</f>
        <v/>
      </c>
      <c r="Y6">
        <f>HYPERLINK("https://klasma.github.io/Logging_0687/tillsynsmail/A 39976-2024 tillsynsbegäran mail.docx", "A 39976-2024")</f>
        <v/>
      </c>
    </row>
    <row r="7" ht="15" customHeight="1">
      <c r="A7" t="inlineStr">
        <is>
          <t>A 10480-2023</t>
        </is>
      </c>
      <c r="B7" s="1" t="n">
        <v>44987</v>
      </c>
      <c r="C7" s="1" t="n">
        <v>46195</v>
      </c>
      <c r="D7" t="inlineStr">
        <is>
          <t>JÖNKÖPINGS LÄN</t>
        </is>
      </c>
      <c r="E7" t="inlineStr">
        <is>
          <t>TRANÅS</t>
        </is>
      </c>
      <c r="G7" t="n">
        <v>3.6</v>
      </c>
      <c r="H7" t="n">
        <v>2</v>
      </c>
      <c r="I7" t="n">
        <v>2</v>
      </c>
      <c r="J7" t="n">
        <v>0</v>
      </c>
      <c r="K7" t="n">
        <v>0</v>
      </c>
      <c r="L7" t="n">
        <v>0</v>
      </c>
      <c r="M7" t="n">
        <v>0</v>
      </c>
      <c r="N7" t="n">
        <v>0</v>
      </c>
      <c r="O7" t="n">
        <v>0</v>
      </c>
      <c r="P7" t="n">
        <v>0</v>
      </c>
      <c r="Q7" t="n">
        <v>4</v>
      </c>
      <c r="R7" s="2" t="inlineStr">
        <is>
          <t>Svart trolldruva
Underviol
Blåsippa
Gullviva</t>
        </is>
      </c>
      <c r="S7">
        <f>HYPERLINK("https://klasma.github.io/Logging_0687/artfynd/A 10480-2023 artfynd.xlsx", "A 10480-2023")</f>
        <v/>
      </c>
      <c r="T7">
        <f>HYPERLINK("https://klasma.github.io/Logging_0687/kartor/A 10480-2023 karta.png", "A 10480-2023")</f>
        <v/>
      </c>
      <c r="V7">
        <f>HYPERLINK("https://klasma.github.io/Logging_0687/klagomål/A 10480-2023 FSC-klagomål.docx", "A 10480-2023")</f>
        <v/>
      </c>
      <c r="W7">
        <f>HYPERLINK("https://klasma.github.io/Logging_0687/klagomålsmail/A 10480-2023 FSC-klagomål mail.docx", "A 10480-2023")</f>
        <v/>
      </c>
      <c r="X7">
        <f>HYPERLINK("https://klasma.github.io/Logging_0687/tillsyn/A 10480-2023 tillsynsbegäran.docx", "A 10480-2023")</f>
        <v/>
      </c>
      <c r="Y7">
        <f>HYPERLINK("https://klasma.github.io/Logging_0687/tillsynsmail/A 10480-2023 tillsynsbegäran mail.docx", "A 10480-2023")</f>
        <v/>
      </c>
    </row>
    <row r="8" ht="15" customHeight="1">
      <c r="A8" t="inlineStr">
        <is>
          <t>A 18179-2024</t>
        </is>
      </c>
      <c r="B8" s="1" t="n">
        <v>45420</v>
      </c>
      <c r="C8" s="1" t="n">
        <v>46195</v>
      </c>
      <c r="D8" t="inlineStr">
        <is>
          <t>JÖNKÖPINGS LÄN</t>
        </is>
      </c>
      <c r="E8" t="inlineStr">
        <is>
          <t>TRANÅS</t>
        </is>
      </c>
      <c r="G8" t="n">
        <v>1.9</v>
      </c>
      <c r="H8" t="n">
        <v>0</v>
      </c>
      <c r="I8" t="n">
        <v>0</v>
      </c>
      <c r="J8" t="n">
        <v>2</v>
      </c>
      <c r="K8" t="n">
        <v>1</v>
      </c>
      <c r="L8" t="n">
        <v>0</v>
      </c>
      <c r="M8" t="n">
        <v>0</v>
      </c>
      <c r="N8" t="n">
        <v>0</v>
      </c>
      <c r="O8" t="n">
        <v>3</v>
      </c>
      <c r="P8" t="n">
        <v>1</v>
      </c>
      <c r="Q8" t="n">
        <v>3</v>
      </c>
      <c r="R8" s="2" t="inlineStr">
        <is>
          <t>Fältgentiana
Svinrot
Åkerväddsantennmal</t>
        </is>
      </c>
      <c r="S8">
        <f>HYPERLINK("https://klasma.github.io/Logging_0687/artfynd/A 18179-2024 artfynd.xlsx", "A 18179-2024")</f>
        <v/>
      </c>
      <c r="T8">
        <f>HYPERLINK("https://klasma.github.io/Logging_0687/kartor/A 18179-2024 karta.png", "A 18179-2024")</f>
        <v/>
      </c>
      <c r="V8">
        <f>HYPERLINK("https://klasma.github.io/Logging_0687/klagomål/A 18179-2024 FSC-klagomål.docx", "A 18179-2024")</f>
        <v/>
      </c>
      <c r="W8">
        <f>HYPERLINK("https://klasma.github.io/Logging_0687/klagomålsmail/A 18179-2024 FSC-klagomål mail.docx", "A 18179-2024")</f>
        <v/>
      </c>
      <c r="X8">
        <f>HYPERLINK("https://klasma.github.io/Logging_0687/tillsyn/A 18179-2024 tillsynsbegäran.docx", "A 18179-2024")</f>
        <v/>
      </c>
      <c r="Y8">
        <f>HYPERLINK("https://klasma.github.io/Logging_0687/tillsynsmail/A 18179-2024 tillsynsbegäran mail.docx", "A 18179-2024")</f>
        <v/>
      </c>
    </row>
    <row r="9" ht="15" customHeight="1">
      <c r="A9" t="inlineStr">
        <is>
          <t>A 46815-2025</t>
        </is>
      </c>
      <c r="B9" s="1" t="n">
        <v>45926</v>
      </c>
      <c r="C9" s="1" t="n">
        <v>46195</v>
      </c>
      <c r="D9" t="inlineStr">
        <is>
          <t>JÖNKÖPINGS LÄN</t>
        </is>
      </c>
      <c r="E9" t="inlineStr">
        <is>
          <t>TRANÅS</t>
        </is>
      </c>
      <c r="G9" t="n">
        <v>3</v>
      </c>
      <c r="H9" t="n">
        <v>0</v>
      </c>
      <c r="I9" t="n">
        <v>2</v>
      </c>
      <c r="J9" t="n">
        <v>1</v>
      </c>
      <c r="K9" t="n">
        <v>0</v>
      </c>
      <c r="L9" t="n">
        <v>0</v>
      </c>
      <c r="M9" t="n">
        <v>0</v>
      </c>
      <c r="N9" t="n">
        <v>0</v>
      </c>
      <c r="O9" t="n">
        <v>1</v>
      </c>
      <c r="P9" t="n">
        <v>0</v>
      </c>
      <c r="Q9" t="n">
        <v>3</v>
      </c>
      <c r="R9" s="2" t="inlineStr">
        <is>
          <t>Vårärt
Underviol
Vätteros</t>
        </is>
      </c>
      <c r="S9">
        <f>HYPERLINK("https://klasma.github.io/Logging_0687/artfynd/A 46815-2025 artfynd.xlsx", "A 46815-2025")</f>
        <v/>
      </c>
      <c r="T9">
        <f>HYPERLINK("https://klasma.github.io/Logging_0687/kartor/A 46815-2025 karta.png", "A 46815-2025")</f>
        <v/>
      </c>
      <c r="V9">
        <f>HYPERLINK("https://klasma.github.io/Logging_0687/klagomål/A 46815-2025 FSC-klagomål.docx", "A 46815-2025")</f>
        <v/>
      </c>
      <c r="W9">
        <f>HYPERLINK("https://klasma.github.io/Logging_0687/klagomålsmail/A 46815-2025 FSC-klagomål mail.docx", "A 46815-2025")</f>
        <v/>
      </c>
      <c r="X9">
        <f>HYPERLINK("https://klasma.github.io/Logging_0687/tillsyn/A 46815-2025 tillsynsbegäran.docx", "A 46815-2025")</f>
        <v/>
      </c>
      <c r="Y9">
        <f>HYPERLINK("https://klasma.github.io/Logging_0687/tillsynsmail/A 46815-2025 tillsynsbegäran mail.docx", "A 46815-2025")</f>
        <v/>
      </c>
    </row>
    <row r="10" ht="15" customHeight="1">
      <c r="A10" t="inlineStr">
        <is>
          <t>A 6307-2023</t>
        </is>
      </c>
      <c r="B10" s="1" t="n">
        <v>44965</v>
      </c>
      <c r="C10" s="1" t="n">
        <v>46195</v>
      </c>
      <c r="D10" t="inlineStr">
        <is>
          <t>JÖNKÖPINGS LÄN</t>
        </is>
      </c>
      <c r="E10" t="inlineStr">
        <is>
          <t>TRANÅS</t>
        </is>
      </c>
      <c r="G10" t="n">
        <v>1.4</v>
      </c>
      <c r="H10" t="n">
        <v>1</v>
      </c>
      <c r="I10" t="n">
        <v>1</v>
      </c>
      <c r="J10" t="n">
        <v>0</v>
      </c>
      <c r="K10" t="n">
        <v>1</v>
      </c>
      <c r="L10" t="n">
        <v>0</v>
      </c>
      <c r="M10" t="n">
        <v>0</v>
      </c>
      <c r="N10" t="n">
        <v>0</v>
      </c>
      <c r="O10" t="n">
        <v>1</v>
      </c>
      <c r="P10" t="n">
        <v>1</v>
      </c>
      <c r="Q10" t="n">
        <v>3</v>
      </c>
      <c r="R10" s="2" t="inlineStr">
        <is>
          <t>Liten hornflikmossa
Svavelriska
Revlummer</t>
        </is>
      </c>
      <c r="S10">
        <f>HYPERLINK("https://klasma.github.io/Logging_0687/artfynd/A 6307-2023 artfynd.xlsx", "A 6307-2023")</f>
        <v/>
      </c>
      <c r="T10">
        <f>HYPERLINK("https://klasma.github.io/Logging_0687/kartor/A 6307-2023 karta.png", "A 6307-2023")</f>
        <v/>
      </c>
      <c r="V10">
        <f>HYPERLINK("https://klasma.github.io/Logging_0687/klagomål/A 6307-2023 FSC-klagomål.docx", "A 6307-2023")</f>
        <v/>
      </c>
      <c r="W10">
        <f>HYPERLINK("https://klasma.github.io/Logging_0687/klagomålsmail/A 6307-2023 FSC-klagomål mail.docx", "A 6307-2023")</f>
        <v/>
      </c>
      <c r="X10">
        <f>HYPERLINK("https://klasma.github.io/Logging_0687/tillsyn/A 6307-2023 tillsynsbegäran.docx", "A 6307-2023")</f>
        <v/>
      </c>
      <c r="Y10">
        <f>HYPERLINK("https://klasma.github.io/Logging_0687/tillsynsmail/A 6307-2023 tillsynsbegäran mail.docx", "A 6307-2023")</f>
        <v/>
      </c>
    </row>
    <row r="11" ht="15" customHeight="1">
      <c r="A11" t="inlineStr">
        <is>
          <t>A 59532-2025</t>
        </is>
      </c>
      <c r="B11" s="1" t="n">
        <v>45989</v>
      </c>
      <c r="C11" s="1" t="n">
        <v>46195</v>
      </c>
      <c r="D11" t="inlineStr">
        <is>
          <t>JÖNKÖPINGS LÄN</t>
        </is>
      </c>
      <c r="E11" t="inlineStr">
        <is>
          <t>TRANÅS</t>
        </is>
      </c>
      <c r="G11" t="n">
        <v>4.8</v>
      </c>
      <c r="H11" t="n">
        <v>0</v>
      </c>
      <c r="I11" t="n">
        <v>1</v>
      </c>
      <c r="J11" t="n">
        <v>1</v>
      </c>
      <c r="K11" t="n">
        <v>0</v>
      </c>
      <c r="L11" t="n">
        <v>1</v>
      </c>
      <c r="M11" t="n">
        <v>0</v>
      </c>
      <c r="N11" t="n">
        <v>0</v>
      </c>
      <c r="O11" t="n">
        <v>2</v>
      </c>
      <c r="P11" t="n">
        <v>1</v>
      </c>
      <c r="Q11" t="n">
        <v>3</v>
      </c>
      <c r="R11" s="2" t="inlineStr">
        <is>
          <t>Skogsalm
Gullpudra
Hässleklocka</t>
        </is>
      </c>
      <c r="S11">
        <f>HYPERLINK("https://klasma.github.io/Logging_0687/artfynd/A 59532-2025 artfynd.xlsx", "A 59532-2025")</f>
        <v/>
      </c>
      <c r="T11">
        <f>HYPERLINK("https://klasma.github.io/Logging_0687/kartor/A 59532-2025 karta.png", "A 59532-2025")</f>
        <v/>
      </c>
      <c r="V11">
        <f>HYPERLINK("https://klasma.github.io/Logging_0687/klagomål/A 59532-2025 FSC-klagomål.docx", "A 59532-2025")</f>
        <v/>
      </c>
      <c r="W11">
        <f>HYPERLINK("https://klasma.github.io/Logging_0687/klagomålsmail/A 59532-2025 FSC-klagomål mail.docx", "A 59532-2025")</f>
        <v/>
      </c>
      <c r="X11">
        <f>HYPERLINK("https://klasma.github.io/Logging_0687/tillsyn/A 59532-2025 tillsynsbegäran.docx", "A 59532-2025")</f>
        <v/>
      </c>
      <c r="Y11">
        <f>HYPERLINK("https://klasma.github.io/Logging_0687/tillsynsmail/A 59532-2025 tillsynsbegäran mail.docx", "A 59532-2025")</f>
        <v/>
      </c>
    </row>
    <row r="12" ht="15" customHeight="1">
      <c r="A12" t="inlineStr">
        <is>
          <t>A 59543-2022</t>
        </is>
      </c>
      <c r="B12" s="1" t="n">
        <v>44900</v>
      </c>
      <c r="C12" s="1" t="n">
        <v>46195</v>
      </c>
      <c r="D12" t="inlineStr">
        <is>
          <t>JÖNKÖPINGS LÄN</t>
        </is>
      </c>
      <c r="E12" t="inlineStr">
        <is>
          <t>TRANÅS</t>
        </is>
      </c>
      <c r="G12" t="n">
        <v>2.6</v>
      </c>
      <c r="H12" t="n">
        <v>2</v>
      </c>
      <c r="I12" t="n">
        <v>0</v>
      </c>
      <c r="J12" t="n">
        <v>0</v>
      </c>
      <c r="K12" t="n">
        <v>0</v>
      </c>
      <c r="L12" t="n">
        <v>0</v>
      </c>
      <c r="M12" t="n">
        <v>0</v>
      </c>
      <c r="N12" t="n">
        <v>0</v>
      </c>
      <c r="O12" t="n">
        <v>0</v>
      </c>
      <c r="P12" t="n">
        <v>0</v>
      </c>
      <c r="Q12" t="n">
        <v>2</v>
      </c>
      <c r="R12" s="2" t="inlineStr">
        <is>
          <t>Större vattensalamander
Mindre vattensalamander</t>
        </is>
      </c>
      <c r="S12">
        <f>HYPERLINK("https://klasma.github.io/Logging_0687/artfynd/A 59543-2022 artfynd.xlsx", "A 59543-2022")</f>
        <v/>
      </c>
      <c r="T12">
        <f>HYPERLINK("https://klasma.github.io/Logging_0687/kartor/A 59543-2022 karta.png", "A 59543-2022")</f>
        <v/>
      </c>
      <c r="V12">
        <f>HYPERLINK("https://klasma.github.io/Logging_0687/klagomål/A 59543-2022 FSC-klagomål.docx", "A 59543-2022")</f>
        <v/>
      </c>
      <c r="W12">
        <f>HYPERLINK("https://klasma.github.io/Logging_0687/klagomålsmail/A 59543-2022 FSC-klagomål mail.docx", "A 59543-2022")</f>
        <v/>
      </c>
      <c r="X12">
        <f>HYPERLINK("https://klasma.github.io/Logging_0687/tillsyn/A 59543-2022 tillsynsbegäran.docx", "A 59543-2022")</f>
        <v/>
      </c>
      <c r="Y12">
        <f>HYPERLINK("https://klasma.github.io/Logging_0687/tillsynsmail/A 59543-2022 tillsynsbegäran mail.docx", "A 59543-2022")</f>
        <v/>
      </c>
    </row>
    <row r="13" ht="15" customHeight="1">
      <c r="A13" t="inlineStr">
        <is>
          <t>A 22417-2025</t>
        </is>
      </c>
      <c r="B13" s="1" t="n">
        <v>45786</v>
      </c>
      <c r="C13" s="1" t="n">
        <v>46195</v>
      </c>
      <c r="D13" t="inlineStr">
        <is>
          <t>JÖNKÖPINGS LÄN</t>
        </is>
      </c>
      <c r="E13" t="inlineStr">
        <is>
          <t>TRANÅS</t>
        </is>
      </c>
      <c r="G13" t="n">
        <v>1.3</v>
      </c>
      <c r="H13" t="n">
        <v>1</v>
      </c>
      <c r="I13" t="n">
        <v>1</v>
      </c>
      <c r="J13" t="n">
        <v>0</v>
      </c>
      <c r="K13" t="n">
        <v>0</v>
      </c>
      <c r="L13" t="n">
        <v>0</v>
      </c>
      <c r="M13" t="n">
        <v>0</v>
      </c>
      <c r="N13" t="n">
        <v>0</v>
      </c>
      <c r="O13" t="n">
        <v>0</v>
      </c>
      <c r="P13" t="n">
        <v>0</v>
      </c>
      <c r="Q13" t="n">
        <v>2</v>
      </c>
      <c r="R13" s="2" t="inlineStr">
        <is>
          <t>Vätteros
Revlummer</t>
        </is>
      </c>
      <c r="S13">
        <f>HYPERLINK("https://klasma.github.io/Logging_0687/artfynd/A 22417-2025 artfynd.xlsx", "A 22417-2025")</f>
        <v/>
      </c>
      <c r="T13">
        <f>HYPERLINK("https://klasma.github.io/Logging_0687/kartor/A 22417-2025 karta.png", "A 22417-2025")</f>
        <v/>
      </c>
      <c r="V13">
        <f>HYPERLINK("https://klasma.github.io/Logging_0687/klagomål/A 22417-2025 FSC-klagomål.docx", "A 22417-2025")</f>
        <v/>
      </c>
      <c r="W13">
        <f>HYPERLINK("https://klasma.github.io/Logging_0687/klagomålsmail/A 22417-2025 FSC-klagomål mail.docx", "A 22417-2025")</f>
        <v/>
      </c>
      <c r="X13">
        <f>HYPERLINK("https://klasma.github.io/Logging_0687/tillsyn/A 22417-2025 tillsynsbegäran.docx", "A 22417-2025")</f>
        <v/>
      </c>
      <c r="Y13">
        <f>HYPERLINK("https://klasma.github.io/Logging_0687/tillsynsmail/A 22417-2025 tillsynsbegäran mail.docx", "A 22417-2025")</f>
        <v/>
      </c>
    </row>
    <row r="14" ht="15" customHeight="1">
      <c r="A14" t="inlineStr">
        <is>
          <t>A 29486-2023</t>
        </is>
      </c>
      <c r="B14" s="1" t="n">
        <v>45106</v>
      </c>
      <c r="C14" s="1" t="n">
        <v>46195</v>
      </c>
      <c r="D14" t="inlineStr">
        <is>
          <t>JÖNKÖPINGS LÄN</t>
        </is>
      </c>
      <c r="E14" t="inlineStr">
        <is>
          <t>TRANÅS</t>
        </is>
      </c>
      <c r="G14" t="n">
        <v>4.3</v>
      </c>
      <c r="H14" t="n">
        <v>0</v>
      </c>
      <c r="I14" t="n">
        <v>0</v>
      </c>
      <c r="J14" t="n">
        <v>1</v>
      </c>
      <c r="K14" t="n">
        <v>1</v>
      </c>
      <c r="L14" t="n">
        <v>0</v>
      </c>
      <c r="M14" t="n">
        <v>0</v>
      </c>
      <c r="N14" t="n">
        <v>0</v>
      </c>
      <c r="O14" t="n">
        <v>2</v>
      </c>
      <c r="P14" t="n">
        <v>1</v>
      </c>
      <c r="Q14" t="n">
        <v>2</v>
      </c>
      <c r="R14" s="2" t="inlineStr">
        <is>
          <t>Åkerrättika
Klofibbla</t>
        </is>
      </c>
      <c r="S14">
        <f>HYPERLINK("https://klasma.github.io/Logging_0687/artfynd/A 29486-2023 artfynd.xlsx", "A 29486-2023")</f>
        <v/>
      </c>
      <c r="T14">
        <f>HYPERLINK("https://klasma.github.io/Logging_0687/kartor/A 29486-2023 karta.png", "A 29486-2023")</f>
        <v/>
      </c>
      <c r="V14">
        <f>HYPERLINK("https://klasma.github.io/Logging_0687/klagomål/A 29486-2023 FSC-klagomål.docx", "A 29486-2023")</f>
        <v/>
      </c>
      <c r="W14">
        <f>HYPERLINK("https://klasma.github.io/Logging_0687/klagomålsmail/A 29486-2023 FSC-klagomål mail.docx", "A 29486-2023")</f>
        <v/>
      </c>
      <c r="X14">
        <f>HYPERLINK("https://klasma.github.io/Logging_0687/tillsyn/A 29486-2023 tillsynsbegäran.docx", "A 29486-2023")</f>
        <v/>
      </c>
      <c r="Y14">
        <f>HYPERLINK("https://klasma.github.io/Logging_0687/tillsynsmail/A 29486-2023 tillsynsbegäran mail.docx", "A 29486-2023")</f>
        <v/>
      </c>
    </row>
    <row r="15" ht="15" customHeight="1">
      <c r="A15" t="inlineStr">
        <is>
          <t>A 59046-2025</t>
        </is>
      </c>
      <c r="B15" s="1" t="n">
        <v>45988</v>
      </c>
      <c r="C15" s="1" t="n">
        <v>46195</v>
      </c>
      <c r="D15" t="inlineStr">
        <is>
          <t>JÖNKÖPINGS LÄN</t>
        </is>
      </c>
      <c r="E15" t="inlineStr">
        <is>
          <t>TRANÅS</t>
        </is>
      </c>
      <c r="G15" t="n">
        <v>2.9</v>
      </c>
      <c r="H15" t="n">
        <v>0</v>
      </c>
      <c r="I15" t="n">
        <v>0</v>
      </c>
      <c r="J15" t="n">
        <v>2</v>
      </c>
      <c r="K15" t="n">
        <v>0</v>
      </c>
      <c r="L15" t="n">
        <v>0</v>
      </c>
      <c r="M15" t="n">
        <v>0</v>
      </c>
      <c r="N15" t="n">
        <v>0</v>
      </c>
      <c r="O15" t="n">
        <v>2</v>
      </c>
      <c r="P15" t="n">
        <v>0</v>
      </c>
      <c r="Q15" t="n">
        <v>2</v>
      </c>
      <c r="R15" s="2" t="inlineStr">
        <is>
          <t>Sommarfibbla
Svinrot</t>
        </is>
      </c>
      <c r="S15">
        <f>HYPERLINK("https://klasma.github.io/Logging_0687/artfynd/A 59046-2025 artfynd.xlsx", "A 59046-2025")</f>
        <v/>
      </c>
      <c r="T15">
        <f>HYPERLINK("https://klasma.github.io/Logging_0687/kartor/A 59046-2025 karta.png", "A 59046-2025")</f>
        <v/>
      </c>
      <c r="V15">
        <f>HYPERLINK("https://klasma.github.io/Logging_0687/klagomål/A 59046-2025 FSC-klagomål.docx", "A 59046-2025")</f>
        <v/>
      </c>
      <c r="W15">
        <f>HYPERLINK("https://klasma.github.io/Logging_0687/klagomålsmail/A 59046-2025 FSC-klagomål mail.docx", "A 59046-2025")</f>
        <v/>
      </c>
      <c r="X15">
        <f>HYPERLINK("https://klasma.github.io/Logging_0687/tillsyn/A 59046-2025 tillsynsbegäran.docx", "A 59046-2025")</f>
        <v/>
      </c>
      <c r="Y15">
        <f>HYPERLINK("https://klasma.github.io/Logging_0687/tillsynsmail/A 59046-2025 tillsynsbegäran mail.docx", "A 59046-2025")</f>
        <v/>
      </c>
    </row>
    <row r="16" ht="15" customHeight="1">
      <c r="A16" t="inlineStr">
        <is>
          <t>A 50634-2023</t>
        </is>
      </c>
      <c r="B16" s="1" t="n">
        <v>45217</v>
      </c>
      <c r="C16" s="1" t="n">
        <v>46195</v>
      </c>
      <c r="D16" t="inlineStr">
        <is>
          <t>JÖNKÖPINGS LÄN</t>
        </is>
      </c>
      <c r="E16" t="inlineStr">
        <is>
          <t>TRANÅS</t>
        </is>
      </c>
      <c r="G16" t="n">
        <v>0.9</v>
      </c>
      <c r="H16" t="n">
        <v>2</v>
      </c>
      <c r="I16" t="n">
        <v>0</v>
      </c>
      <c r="J16" t="n">
        <v>2</v>
      </c>
      <c r="K16" t="n">
        <v>0</v>
      </c>
      <c r="L16" t="n">
        <v>0</v>
      </c>
      <c r="M16" t="n">
        <v>0</v>
      </c>
      <c r="N16" t="n">
        <v>0</v>
      </c>
      <c r="O16" t="n">
        <v>2</v>
      </c>
      <c r="P16" t="n">
        <v>0</v>
      </c>
      <c r="Q16" t="n">
        <v>2</v>
      </c>
      <c r="R16" s="2" t="inlineStr">
        <is>
          <t>Rördrom
Rörsångare</t>
        </is>
      </c>
      <c r="S16">
        <f>HYPERLINK("https://klasma.github.io/Logging_0687/artfynd/A 50634-2023 artfynd.xlsx", "A 50634-2023")</f>
        <v/>
      </c>
      <c r="T16">
        <f>HYPERLINK("https://klasma.github.io/Logging_0687/kartor/A 50634-2023 karta.png", "A 50634-2023")</f>
        <v/>
      </c>
      <c r="V16">
        <f>HYPERLINK("https://klasma.github.io/Logging_0687/klagomål/A 50634-2023 FSC-klagomål.docx", "A 50634-2023")</f>
        <v/>
      </c>
      <c r="W16">
        <f>HYPERLINK("https://klasma.github.io/Logging_0687/klagomålsmail/A 50634-2023 FSC-klagomål mail.docx", "A 50634-2023")</f>
        <v/>
      </c>
      <c r="X16">
        <f>HYPERLINK("https://klasma.github.io/Logging_0687/tillsyn/A 50634-2023 tillsynsbegäran.docx", "A 50634-2023")</f>
        <v/>
      </c>
      <c r="Y16">
        <f>HYPERLINK("https://klasma.github.io/Logging_0687/tillsynsmail/A 50634-2023 tillsynsbegäran mail.docx", "A 50634-2023")</f>
        <v/>
      </c>
    </row>
    <row r="17" ht="15" customHeight="1">
      <c r="A17" t="inlineStr">
        <is>
          <t>A 26395-2022</t>
        </is>
      </c>
      <c r="B17" s="1" t="n">
        <v>44735</v>
      </c>
      <c r="C17" s="1" t="n">
        <v>46195</v>
      </c>
      <c r="D17" t="inlineStr">
        <is>
          <t>JÖNKÖPINGS LÄN</t>
        </is>
      </c>
      <c r="E17" t="inlineStr">
        <is>
          <t>TRANÅS</t>
        </is>
      </c>
      <c r="G17" t="n">
        <v>2.1</v>
      </c>
      <c r="H17" t="n">
        <v>1</v>
      </c>
      <c r="I17" t="n">
        <v>0</v>
      </c>
      <c r="J17" t="n">
        <v>0</v>
      </c>
      <c r="K17" t="n">
        <v>0</v>
      </c>
      <c r="L17" t="n">
        <v>0</v>
      </c>
      <c r="M17" t="n">
        <v>0</v>
      </c>
      <c r="N17" t="n">
        <v>0</v>
      </c>
      <c r="O17" t="n">
        <v>0</v>
      </c>
      <c r="P17" t="n">
        <v>0</v>
      </c>
      <c r="Q17" t="n">
        <v>1</v>
      </c>
      <c r="R17" s="2" t="inlineStr">
        <is>
          <t>Ängsnycklar</t>
        </is>
      </c>
      <c r="S17">
        <f>HYPERLINK("https://klasma.github.io/Logging_0687/artfynd/A 26395-2022 artfynd.xlsx", "A 26395-2022")</f>
        <v/>
      </c>
      <c r="T17">
        <f>HYPERLINK("https://klasma.github.io/Logging_0687/kartor/A 26395-2022 karta.png", "A 26395-2022")</f>
        <v/>
      </c>
      <c r="V17">
        <f>HYPERLINK("https://klasma.github.io/Logging_0687/klagomål/A 26395-2022 FSC-klagomål.docx", "A 26395-2022")</f>
        <v/>
      </c>
      <c r="W17">
        <f>HYPERLINK("https://klasma.github.io/Logging_0687/klagomålsmail/A 26395-2022 FSC-klagomål mail.docx", "A 26395-2022")</f>
        <v/>
      </c>
      <c r="X17">
        <f>HYPERLINK("https://klasma.github.io/Logging_0687/tillsyn/A 26395-2022 tillsynsbegäran.docx", "A 26395-2022")</f>
        <v/>
      </c>
      <c r="Y17">
        <f>HYPERLINK("https://klasma.github.io/Logging_0687/tillsynsmail/A 26395-2022 tillsynsbegäran mail.docx", "A 26395-2022")</f>
        <v/>
      </c>
    </row>
    <row r="18" ht="15" customHeight="1">
      <c r="A18" t="inlineStr">
        <is>
          <t>A 23033-2022</t>
        </is>
      </c>
      <c r="B18" s="1" t="n">
        <v>44719</v>
      </c>
      <c r="C18" s="1" t="n">
        <v>46195</v>
      </c>
      <c r="D18" t="inlineStr">
        <is>
          <t>JÖNKÖPINGS LÄN</t>
        </is>
      </c>
      <c r="E18" t="inlineStr">
        <is>
          <t>TRANÅS</t>
        </is>
      </c>
      <c r="F18" t="inlineStr">
        <is>
          <t>Kommuner</t>
        </is>
      </c>
      <c r="G18" t="n">
        <v>5.1</v>
      </c>
      <c r="H18" t="n">
        <v>0</v>
      </c>
      <c r="I18" t="n">
        <v>1</v>
      </c>
      <c r="J18" t="n">
        <v>0</v>
      </c>
      <c r="K18" t="n">
        <v>0</v>
      </c>
      <c r="L18" t="n">
        <v>0</v>
      </c>
      <c r="M18" t="n">
        <v>0</v>
      </c>
      <c r="N18" t="n">
        <v>0</v>
      </c>
      <c r="O18" t="n">
        <v>0</v>
      </c>
      <c r="P18" t="n">
        <v>0</v>
      </c>
      <c r="Q18" t="n">
        <v>1</v>
      </c>
      <c r="R18" s="2" t="inlineStr">
        <is>
          <t>Kantjordstjärna</t>
        </is>
      </c>
      <c r="S18">
        <f>HYPERLINK("https://klasma.github.io/Logging_0687/artfynd/A 23033-2022 artfynd.xlsx", "A 23033-2022")</f>
        <v/>
      </c>
      <c r="T18">
        <f>HYPERLINK("https://klasma.github.io/Logging_0687/kartor/A 23033-2022 karta.png", "A 23033-2022")</f>
        <v/>
      </c>
      <c r="V18">
        <f>HYPERLINK("https://klasma.github.io/Logging_0687/klagomål/A 23033-2022 FSC-klagomål.docx", "A 23033-2022")</f>
        <v/>
      </c>
      <c r="W18">
        <f>HYPERLINK("https://klasma.github.io/Logging_0687/klagomålsmail/A 23033-2022 FSC-klagomål mail.docx", "A 23033-2022")</f>
        <v/>
      </c>
      <c r="X18">
        <f>HYPERLINK("https://klasma.github.io/Logging_0687/tillsyn/A 23033-2022 tillsynsbegäran.docx", "A 23033-2022")</f>
        <v/>
      </c>
      <c r="Y18">
        <f>HYPERLINK("https://klasma.github.io/Logging_0687/tillsynsmail/A 23033-2022 tillsynsbegäran mail.docx", "A 23033-2022")</f>
        <v/>
      </c>
    </row>
    <row r="19" ht="15" customHeight="1">
      <c r="A19" t="inlineStr">
        <is>
          <t>A 44723-2025</t>
        </is>
      </c>
      <c r="B19" s="1" t="n">
        <v>45917</v>
      </c>
      <c r="C19" s="1" t="n">
        <v>46195</v>
      </c>
      <c r="D19" t="inlineStr">
        <is>
          <t>JÖNKÖPINGS LÄN</t>
        </is>
      </c>
      <c r="E19" t="inlineStr">
        <is>
          <t>TRANÅS</t>
        </is>
      </c>
      <c r="G19" t="n">
        <v>1.7</v>
      </c>
      <c r="H19" t="n">
        <v>0</v>
      </c>
      <c r="I19" t="n">
        <v>0</v>
      </c>
      <c r="J19" t="n">
        <v>0</v>
      </c>
      <c r="K19" t="n">
        <v>0</v>
      </c>
      <c r="L19" t="n">
        <v>1</v>
      </c>
      <c r="M19" t="n">
        <v>0</v>
      </c>
      <c r="N19" t="n">
        <v>0</v>
      </c>
      <c r="O19" t="n">
        <v>1</v>
      </c>
      <c r="P19" t="n">
        <v>1</v>
      </c>
      <c r="Q19" t="n">
        <v>1</v>
      </c>
      <c r="R19" s="2" t="inlineStr">
        <is>
          <t>Ask</t>
        </is>
      </c>
      <c r="S19">
        <f>HYPERLINK("https://klasma.github.io/Logging_0687/artfynd/A 44723-2025 artfynd.xlsx", "A 44723-2025")</f>
        <v/>
      </c>
      <c r="T19">
        <f>HYPERLINK("https://klasma.github.io/Logging_0687/kartor/A 44723-2025 karta.png", "A 44723-2025")</f>
        <v/>
      </c>
      <c r="V19">
        <f>HYPERLINK("https://klasma.github.io/Logging_0687/klagomål/A 44723-2025 FSC-klagomål.docx", "A 44723-2025")</f>
        <v/>
      </c>
      <c r="W19">
        <f>HYPERLINK("https://klasma.github.io/Logging_0687/klagomålsmail/A 44723-2025 FSC-klagomål mail.docx", "A 44723-2025")</f>
        <v/>
      </c>
      <c r="X19">
        <f>HYPERLINK("https://klasma.github.io/Logging_0687/tillsyn/A 44723-2025 tillsynsbegäran.docx", "A 44723-2025")</f>
        <v/>
      </c>
      <c r="Y19">
        <f>HYPERLINK("https://klasma.github.io/Logging_0687/tillsynsmail/A 44723-2025 tillsynsbegäran mail.docx", "A 44723-2025")</f>
        <v/>
      </c>
    </row>
    <row r="20" ht="15" customHeight="1">
      <c r="A20" t="inlineStr">
        <is>
          <t>A 44235-2025</t>
        </is>
      </c>
      <c r="B20" s="1" t="n">
        <v>45915</v>
      </c>
      <c r="C20" s="1" t="n">
        <v>46195</v>
      </c>
      <c r="D20" t="inlineStr">
        <is>
          <t>JÖNKÖPINGS LÄN</t>
        </is>
      </c>
      <c r="E20" t="inlineStr">
        <is>
          <t>TRANÅS</t>
        </is>
      </c>
      <c r="G20" t="n">
        <v>21.9</v>
      </c>
      <c r="H20" t="n">
        <v>0</v>
      </c>
      <c r="I20" t="n">
        <v>0</v>
      </c>
      <c r="J20" t="n">
        <v>0</v>
      </c>
      <c r="K20" t="n">
        <v>0</v>
      </c>
      <c r="L20" t="n">
        <v>1</v>
      </c>
      <c r="M20" t="n">
        <v>0</v>
      </c>
      <c r="N20" t="n">
        <v>0</v>
      </c>
      <c r="O20" t="n">
        <v>1</v>
      </c>
      <c r="P20" t="n">
        <v>1</v>
      </c>
      <c r="Q20" t="n">
        <v>1</v>
      </c>
      <c r="R20" s="2" t="inlineStr">
        <is>
          <t>Ask</t>
        </is>
      </c>
      <c r="S20">
        <f>HYPERLINK("https://klasma.github.io/Logging_0687/artfynd/A 44235-2025 artfynd.xlsx", "A 44235-2025")</f>
        <v/>
      </c>
      <c r="T20">
        <f>HYPERLINK("https://klasma.github.io/Logging_0687/kartor/A 44235-2025 karta.png", "A 44235-2025")</f>
        <v/>
      </c>
      <c r="V20">
        <f>HYPERLINK("https://klasma.github.io/Logging_0687/klagomål/A 44235-2025 FSC-klagomål.docx", "A 44235-2025")</f>
        <v/>
      </c>
      <c r="W20">
        <f>HYPERLINK("https://klasma.github.io/Logging_0687/klagomålsmail/A 44235-2025 FSC-klagomål mail.docx", "A 44235-2025")</f>
        <v/>
      </c>
      <c r="X20">
        <f>HYPERLINK("https://klasma.github.io/Logging_0687/tillsyn/A 44235-2025 tillsynsbegäran.docx", "A 44235-2025")</f>
        <v/>
      </c>
      <c r="Y20">
        <f>HYPERLINK("https://klasma.github.io/Logging_0687/tillsynsmail/A 44235-2025 tillsynsbegäran mail.docx", "A 44235-2025")</f>
        <v/>
      </c>
    </row>
    <row r="21" ht="15" customHeight="1">
      <c r="A21" t="inlineStr">
        <is>
          <t>A 26618-2026</t>
        </is>
      </c>
      <c r="B21" s="1" t="n">
        <v>46184</v>
      </c>
      <c r="C21" s="1" t="n">
        <v>46195</v>
      </c>
      <c r="D21" t="inlineStr">
        <is>
          <t>JÖNKÖPINGS LÄN</t>
        </is>
      </c>
      <c r="E21" t="inlineStr">
        <is>
          <t>TRANÅS</t>
        </is>
      </c>
      <c r="G21" t="n">
        <v>2.7</v>
      </c>
      <c r="H21" t="n">
        <v>0</v>
      </c>
      <c r="I21" t="n">
        <v>0</v>
      </c>
      <c r="J21" t="n">
        <v>0</v>
      </c>
      <c r="K21" t="n">
        <v>0</v>
      </c>
      <c r="L21" t="n">
        <v>1</v>
      </c>
      <c r="M21" t="n">
        <v>0</v>
      </c>
      <c r="N21" t="n">
        <v>0</v>
      </c>
      <c r="O21" t="n">
        <v>1</v>
      </c>
      <c r="P21" t="n">
        <v>1</v>
      </c>
      <c r="Q21" t="n">
        <v>1</v>
      </c>
      <c r="R21" s="2" t="inlineStr">
        <is>
          <t>Ask</t>
        </is>
      </c>
      <c r="S21">
        <f>HYPERLINK("https://klasma.github.io/Logging_0687/artfynd/A 26618-2026 artfynd.xlsx", "A 26618-2026")</f>
        <v/>
      </c>
      <c r="T21">
        <f>HYPERLINK("https://klasma.github.io/Logging_0687/kartor/A 26618-2026 karta.png", "A 26618-2026")</f>
        <v/>
      </c>
      <c r="V21">
        <f>HYPERLINK("https://klasma.github.io/Logging_0687/klagomål/A 26618-2026 FSC-klagomål.docx", "A 26618-2026")</f>
        <v/>
      </c>
      <c r="W21">
        <f>HYPERLINK("https://klasma.github.io/Logging_0687/klagomålsmail/A 26618-2026 FSC-klagomål mail.docx", "A 26618-2026")</f>
        <v/>
      </c>
      <c r="X21">
        <f>HYPERLINK("https://klasma.github.io/Logging_0687/tillsyn/A 26618-2026 tillsynsbegäran.docx", "A 26618-2026")</f>
        <v/>
      </c>
      <c r="Y21">
        <f>HYPERLINK("https://klasma.github.io/Logging_0687/tillsynsmail/A 26618-2026 tillsynsbegäran mail.docx", "A 26618-2026")</f>
        <v/>
      </c>
    </row>
    <row r="22" ht="15" customHeight="1">
      <c r="A22" t="inlineStr">
        <is>
          <t>A 37703-2023</t>
        </is>
      </c>
      <c r="B22" s="1" t="n">
        <v>45159</v>
      </c>
      <c r="C22" s="1" t="n">
        <v>46195</v>
      </c>
      <c r="D22" t="inlineStr">
        <is>
          <t>JÖNKÖPINGS LÄN</t>
        </is>
      </c>
      <c r="E22" t="inlineStr">
        <is>
          <t>TRANÅS</t>
        </is>
      </c>
      <c r="G22" t="n">
        <v>2</v>
      </c>
      <c r="H22" t="n">
        <v>0</v>
      </c>
      <c r="I22" t="n">
        <v>0</v>
      </c>
      <c r="J22" t="n">
        <v>0</v>
      </c>
      <c r="K22" t="n">
        <v>0</v>
      </c>
      <c r="L22" t="n">
        <v>1</v>
      </c>
      <c r="M22" t="n">
        <v>0</v>
      </c>
      <c r="N22" t="n">
        <v>0</v>
      </c>
      <c r="O22" t="n">
        <v>1</v>
      </c>
      <c r="P22" t="n">
        <v>1</v>
      </c>
      <c r="Q22" t="n">
        <v>1</v>
      </c>
      <c r="R22" s="2" t="inlineStr">
        <is>
          <t>Ask</t>
        </is>
      </c>
      <c r="S22">
        <f>HYPERLINK("https://klasma.github.io/Logging_0687/artfynd/A 37703-2023 artfynd.xlsx", "A 37703-2023")</f>
        <v/>
      </c>
      <c r="T22">
        <f>HYPERLINK("https://klasma.github.io/Logging_0687/kartor/A 37703-2023 karta.png", "A 37703-2023")</f>
        <v/>
      </c>
      <c r="V22">
        <f>HYPERLINK("https://klasma.github.io/Logging_0687/klagomål/A 37703-2023 FSC-klagomål.docx", "A 37703-2023")</f>
        <v/>
      </c>
      <c r="W22">
        <f>HYPERLINK("https://klasma.github.io/Logging_0687/klagomålsmail/A 37703-2023 FSC-klagomål mail.docx", "A 37703-2023")</f>
        <v/>
      </c>
      <c r="X22">
        <f>HYPERLINK("https://klasma.github.io/Logging_0687/tillsyn/A 37703-2023 tillsynsbegäran.docx", "A 37703-2023")</f>
        <v/>
      </c>
      <c r="Y22">
        <f>HYPERLINK("https://klasma.github.io/Logging_0687/tillsynsmail/A 37703-2023 tillsynsbegäran mail.docx", "A 37703-2023")</f>
        <v/>
      </c>
    </row>
    <row r="23" ht="15" customHeight="1">
      <c r="A23" t="inlineStr">
        <is>
          <t>A 20822-2024</t>
        </is>
      </c>
      <c r="B23" s="1" t="n">
        <v>45439</v>
      </c>
      <c r="C23" s="1" t="n">
        <v>46195</v>
      </c>
      <c r="D23" t="inlineStr">
        <is>
          <t>JÖNKÖPINGS LÄN</t>
        </is>
      </c>
      <c r="E23" t="inlineStr">
        <is>
          <t>TRANÅS</t>
        </is>
      </c>
      <c r="G23" t="n">
        <v>4.7</v>
      </c>
      <c r="H23" t="n">
        <v>0</v>
      </c>
      <c r="I23" t="n">
        <v>1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1</v>
      </c>
      <c r="R23" s="2" t="inlineStr">
        <is>
          <t>Blomkålssvamp</t>
        </is>
      </c>
      <c r="S23">
        <f>HYPERLINK("https://klasma.github.io/Logging_0687/artfynd/A 20822-2024 artfynd.xlsx", "A 20822-2024")</f>
        <v/>
      </c>
      <c r="T23">
        <f>HYPERLINK("https://klasma.github.io/Logging_0687/kartor/A 20822-2024 karta.png", "A 20822-2024")</f>
        <v/>
      </c>
      <c r="V23">
        <f>HYPERLINK("https://klasma.github.io/Logging_0687/klagomål/A 20822-2024 FSC-klagomål.docx", "A 20822-2024")</f>
        <v/>
      </c>
      <c r="W23">
        <f>HYPERLINK("https://klasma.github.io/Logging_0687/klagomålsmail/A 20822-2024 FSC-klagomål mail.docx", "A 20822-2024")</f>
        <v/>
      </c>
      <c r="X23">
        <f>HYPERLINK("https://klasma.github.io/Logging_0687/tillsyn/A 20822-2024 tillsynsbegäran.docx", "A 20822-2024")</f>
        <v/>
      </c>
      <c r="Y23">
        <f>HYPERLINK("https://klasma.github.io/Logging_0687/tillsynsmail/A 20822-2024 tillsynsbegäran mail.docx", "A 20822-2024")</f>
        <v/>
      </c>
    </row>
    <row r="24" ht="15" customHeight="1">
      <c r="A24" t="inlineStr">
        <is>
          <t>A 1720-2024</t>
        </is>
      </c>
      <c r="B24" s="1" t="n">
        <v>45307</v>
      </c>
      <c r="C24" s="1" t="n">
        <v>46195</v>
      </c>
      <c r="D24" t="inlineStr">
        <is>
          <t>JÖNKÖPINGS LÄN</t>
        </is>
      </c>
      <c r="E24" t="inlineStr">
        <is>
          <t>TRANÅS</t>
        </is>
      </c>
      <c r="F24" t="inlineStr">
        <is>
          <t>Kommuner</t>
        </is>
      </c>
      <c r="G24" t="n">
        <v>5.6</v>
      </c>
      <c r="H24" t="n">
        <v>0</v>
      </c>
      <c r="I24" t="n">
        <v>0</v>
      </c>
      <c r="J24" t="n">
        <v>0</v>
      </c>
      <c r="K24" t="n">
        <v>1</v>
      </c>
      <c r="L24" t="n">
        <v>0</v>
      </c>
      <c r="M24" t="n">
        <v>0</v>
      </c>
      <c r="N24" t="n">
        <v>0</v>
      </c>
      <c r="O24" t="n">
        <v>1</v>
      </c>
      <c r="P24" t="n">
        <v>1</v>
      </c>
      <c r="Q24" t="n">
        <v>1</v>
      </c>
      <c r="R24" s="2" t="inlineStr">
        <is>
          <t>Ryl</t>
        </is>
      </c>
      <c r="S24">
        <f>HYPERLINK("https://klasma.github.io/Logging_0687/artfynd/A 1720-2024 artfynd.xlsx", "A 1720-2024")</f>
        <v/>
      </c>
      <c r="T24">
        <f>HYPERLINK("https://klasma.github.io/Logging_0687/kartor/A 1720-2024 karta.png", "A 1720-2024")</f>
        <v/>
      </c>
      <c r="V24">
        <f>HYPERLINK("https://klasma.github.io/Logging_0687/klagomål/A 1720-2024 FSC-klagomål.docx", "A 1720-2024")</f>
        <v/>
      </c>
      <c r="W24">
        <f>HYPERLINK("https://klasma.github.io/Logging_0687/klagomålsmail/A 1720-2024 FSC-klagomål mail.docx", "A 1720-2024")</f>
        <v/>
      </c>
      <c r="X24">
        <f>HYPERLINK("https://klasma.github.io/Logging_0687/tillsyn/A 1720-2024 tillsynsbegäran.docx", "A 1720-2024")</f>
        <v/>
      </c>
      <c r="Y24">
        <f>HYPERLINK("https://klasma.github.io/Logging_0687/tillsynsmail/A 1720-2024 tillsynsbegäran mail.docx", "A 1720-2024")</f>
        <v/>
      </c>
    </row>
    <row r="25" ht="15" customHeight="1">
      <c r="A25" t="inlineStr">
        <is>
          <t>A 20278-2025</t>
        </is>
      </c>
      <c r="B25" s="1" t="n">
        <v>45774</v>
      </c>
      <c r="C25" s="1" t="n">
        <v>46195</v>
      </c>
      <c r="D25" t="inlineStr">
        <is>
          <t>JÖNKÖPINGS LÄN</t>
        </is>
      </c>
      <c r="E25" t="inlineStr">
        <is>
          <t>TRANÅS</t>
        </is>
      </c>
      <c r="G25" t="n">
        <v>1.3</v>
      </c>
      <c r="H25" t="n">
        <v>1</v>
      </c>
      <c r="I25" t="n">
        <v>0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1</v>
      </c>
      <c r="R25" s="2" t="inlineStr">
        <is>
          <t>Spillkråka</t>
        </is>
      </c>
      <c r="S25">
        <f>HYPERLINK("https://klasma.github.io/Logging_0687/artfynd/A 20278-2025 artfynd.xlsx", "A 20278-2025")</f>
        <v/>
      </c>
      <c r="T25">
        <f>HYPERLINK("https://klasma.github.io/Logging_0687/kartor/A 20278-2025 karta.png", "A 20278-2025")</f>
        <v/>
      </c>
      <c r="V25">
        <f>HYPERLINK("https://klasma.github.io/Logging_0687/klagomål/A 20278-2025 FSC-klagomål.docx", "A 20278-2025")</f>
        <v/>
      </c>
      <c r="W25">
        <f>HYPERLINK("https://klasma.github.io/Logging_0687/klagomålsmail/A 20278-2025 FSC-klagomål mail.docx", "A 20278-2025")</f>
        <v/>
      </c>
      <c r="X25">
        <f>HYPERLINK("https://klasma.github.io/Logging_0687/tillsyn/A 20278-2025 tillsynsbegäran.docx", "A 20278-2025")</f>
        <v/>
      </c>
      <c r="Y25">
        <f>HYPERLINK("https://klasma.github.io/Logging_0687/tillsynsmail/A 20278-2025 tillsynsbegäran mail.docx", "A 20278-2025")</f>
        <v/>
      </c>
      <c r="Z25">
        <f>HYPERLINK("https://klasma.github.io/Logging_0687/fåglar/A 20278-2025 prioriterade fågelarter.docx", "A 20278-2025")</f>
        <v/>
      </c>
    </row>
    <row r="26" ht="15" customHeight="1">
      <c r="A26" t="inlineStr">
        <is>
          <t>A 988-2026</t>
        </is>
      </c>
      <c r="B26" s="1" t="n">
        <v>46029</v>
      </c>
      <c r="C26" s="1" t="n">
        <v>46195</v>
      </c>
      <c r="D26" t="inlineStr">
        <is>
          <t>JÖNKÖPINGS LÄN</t>
        </is>
      </c>
      <c r="E26" t="inlineStr">
        <is>
          <t>TRANÅS</t>
        </is>
      </c>
      <c r="G26" t="n">
        <v>0.8</v>
      </c>
      <c r="H26" t="n">
        <v>0</v>
      </c>
      <c r="I26" t="n">
        <v>0</v>
      </c>
      <c r="J26" t="n">
        <v>0</v>
      </c>
      <c r="K26" t="n">
        <v>0</v>
      </c>
      <c r="L26" t="n">
        <v>1</v>
      </c>
      <c r="M26" t="n">
        <v>0</v>
      </c>
      <c r="N26" t="n">
        <v>0</v>
      </c>
      <c r="O26" t="n">
        <v>1</v>
      </c>
      <c r="P26" t="n">
        <v>1</v>
      </c>
      <c r="Q26" t="n">
        <v>1</v>
      </c>
      <c r="R26" s="2" t="inlineStr">
        <is>
          <t>Ask</t>
        </is>
      </c>
      <c r="S26">
        <f>HYPERLINK("https://klasma.github.io/Logging_0687/artfynd/A 988-2026 artfynd.xlsx", "A 988-2026")</f>
        <v/>
      </c>
      <c r="T26">
        <f>HYPERLINK("https://klasma.github.io/Logging_0687/kartor/A 988-2026 karta.png", "A 988-2026")</f>
        <v/>
      </c>
      <c r="V26">
        <f>HYPERLINK("https://klasma.github.io/Logging_0687/klagomål/A 988-2026 FSC-klagomål.docx", "A 988-2026")</f>
        <v/>
      </c>
      <c r="W26">
        <f>HYPERLINK("https://klasma.github.io/Logging_0687/klagomålsmail/A 988-2026 FSC-klagomål mail.docx", "A 988-2026")</f>
        <v/>
      </c>
      <c r="X26">
        <f>HYPERLINK("https://klasma.github.io/Logging_0687/tillsyn/A 988-2026 tillsynsbegäran.docx", "A 988-2026")</f>
        <v/>
      </c>
      <c r="Y26">
        <f>HYPERLINK("https://klasma.github.io/Logging_0687/tillsynsmail/A 988-2026 tillsynsbegäran mail.docx", "A 988-2026")</f>
        <v/>
      </c>
    </row>
    <row r="27" ht="15" customHeight="1">
      <c r="A27" t="inlineStr">
        <is>
          <t>A 29382-2022</t>
        </is>
      </c>
      <c r="B27" s="1" t="n">
        <v>44753</v>
      </c>
      <c r="C27" s="1" t="n">
        <v>46195</v>
      </c>
      <c r="D27" t="inlineStr">
        <is>
          <t>JÖNKÖPINGS LÄN</t>
        </is>
      </c>
      <c r="E27" t="inlineStr">
        <is>
          <t>TRANÅS</t>
        </is>
      </c>
      <c r="G27" t="n">
        <v>2.4</v>
      </c>
      <c r="H27" t="n">
        <v>0</v>
      </c>
      <c r="I27" t="n">
        <v>0</v>
      </c>
      <c r="J27" t="n">
        <v>0</v>
      </c>
      <c r="K27" t="n">
        <v>0</v>
      </c>
      <c r="L27" t="n">
        <v>1</v>
      </c>
      <c r="M27" t="n">
        <v>0</v>
      </c>
      <c r="N27" t="n">
        <v>0</v>
      </c>
      <c r="O27" t="n">
        <v>1</v>
      </c>
      <c r="P27" t="n">
        <v>1</v>
      </c>
      <c r="Q27" t="n">
        <v>1</v>
      </c>
      <c r="R27" s="2" t="inlineStr">
        <is>
          <t>Ask</t>
        </is>
      </c>
      <c r="S27">
        <f>HYPERLINK("https://klasma.github.io/Logging_0687/artfynd/A 29382-2022 artfynd.xlsx", "A 29382-2022")</f>
        <v/>
      </c>
      <c r="T27">
        <f>HYPERLINK("https://klasma.github.io/Logging_0687/kartor/A 29382-2022 karta.png", "A 29382-2022")</f>
        <v/>
      </c>
      <c r="V27">
        <f>HYPERLINK("https://klasma.github.io/Logging_0687/klagomål/A 29382-2022 FSC-klagomål.docx", "A 29382-2022")</f>
        <v/>
      </c>
      <c r="W27">
        <f>HYPERLINK("https://klasma.github.io/Logging_0687/klagomålsmail/A 29382-2022 FSC-klagomål mail.docx", "A 29382-2022")</f>
        <v/>
      </c>
      <c r="X27">
        <f>HYPERLINK("https://klasma.github.io/Logging_0687/tillsyn/A 29382-2022 tillsynsbegäran.docx", "A 29382-2022")</f>
        <v/>
      </c>
      <c r="Y27">
        <f>HYPERLINK("https://klasma.github.io/Logging_0687/tillsynsmail/A 29382-2022 tillsynsbegäran mail.docx", "A 29382-2022")</f>
        <v/>
      </c>
    </row>
    <row r="28" ht="15" customHeight="1">
      <c r="A28" t="inlineStr">
        <is>
          <t>A 31857-2024</t>
        </is>
      </c>
      <c r="B28" s="1" t="n">
        <v>45509</v>
      </c>
      <c r="C28" s="1" t="n">
        <v>46195</v>
      </c>
      <c r="D28" t="inlineStr">
        <is>
          <t>JÖNKÖPINGS LÄN</t>
        </is>
      </c>
      <c r="E28" t="inlineStr">
        <is>
          <t>TRANÅS</t>
        </is>
      </c>
      <c r="F28" t="inlineStr">
        <is>
          <t>Kommuner</t>
        </is>
      </c>
      <c r="G28" t="n">
        <v>6.2</v>
      </c>
      <c r="H28" t="n">
        <v>0</v>
      </c>
      <c r="I28" t="n">
        <v>0</v>
      </c>
      <c r="J28" t="n">
        <v>0</v>
      </c>
      <c r="K28" t="n">
        <v>1</v>
      </c>
      <c r="L28" t="n">
        <v>0</v>
      </c>
      <c r="M28" t="n">
        <v>0</v>
      </c>
      <c r="N28" t="n">
        <v>0</v>
      </c>
      <c r="O28" t="n">
        <v>1</v>
      </c>
      <c r="P28" t="n">
        <v>1</v>
      </c>
      <c r="Q28" t="n">
        <v>1</v>
      </c>
      <c r="R28" s="2" t="inlineStr">
        <is>
          <t>Ryl</t>
        </is>
      </c>
      <c r="S28">
        <f>HYPERLINK("https://klasma.github.io/Logging_0687/artfynd/A 31857-2024 artfynd.xlsx", "A 31857-2024")</f>
        <v/>
      </c>
      <c r="T28">
        <f>HYPERLINK("https://klasma.github.io/Logging_0687/kartor/A 31857-2024 karta.png", "A 31857-2024")</f>
        <v/>
      </c>
      <c r="V28">
        <f>HYPERLINK("https://klasma.github.io/Logging_0687/klagomål/A 31857-2024 FSC-klagomål.docx", "A 31857-2024")</f>
        <v/>
      </c>
      <c r="W28">
        <f>HYPERLINK("https://klasma.github.io/Logging_0687/klagomålsmail/A 31857-2024 FSC-klagomål mail.docx", "A 31857-2024")</f>
        <v/>
      </c>
      <c r="X28">
        <f>HYPERLINK("https://klasma.github.io/Logging_0687/tillsyn/A 31857-2024 tillsynsbegäran.docx", "A 31857-2024")</f>
        <v/>
      </c>
      <c r="Y28">
        <f>HYPERLINK("https://klasma.github.io/Logging_0687/tillsynsmail/A 31857-2024 tillsynsbegäran mail.docx", "A 31857-2024")</f>
        <v/>
      </c>
    </row>
    <row r="29" ht="15" customHeight="1">
      <c r="A29" t="inlineStr">
        <is>
          <t>A 9977-2022</t>
        </is>
      </c>
      <c r="B29" s="1" t="n">
        <v>44621</v>
      </c>
      <c r="C29" s="1" t="n">
        <v>46195</v>
      </c>
      <c r="D29" t="inlineStr">
        <is>
          <t>JÖNKÖPINGS LÄN</t>
        </is>
      </c>
      <c r="E29" t="inlineStr">
        <is>
          <t>TRANÅS</t>
        </is>
      </c>
      <c r="G29" t="n">
        <v>4.7</v>
      </c>
      <c r="H29" t="n">
        <v>1</v>
      </c>
      <c r="I29" t="n">
        <v>0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1</v>
      </c>
      <c r="R29" s="2" t="inlineStr">
        <is>
          <t>Blåsippa</t>
        </is>
      </c>
      <c r="S29">
        <f>HYPERLINK("https://klasma.github.io/Logging_0687/artfynd/A 9977-2022 artfynd.xlsx", "A 9977-2022")</f>
        <v/>
      </c>
      <c r="T29">
        <f>HYPERLINK("https://klasma.github.io/Logging_0687/kartor/A 9977-2022 karta.png", "A 9977-2022")</f>
        <v/>
      </c>
      <c r="V29">
        <f>HYPERLINK("https://klasma.github.io/Logging_0687/klagomål/A 9977-2022 FSC-klagomål.docx", "A 9977-2022")</f>
        <v/>
      </c>
      <c r="W29">
        <f>HYPERLINK("https://klasma.github.io/Logging_0687/klagomålsmail/A 9977-2022 FSC-klagomål mail.docx", "A 9977-2022")</f>
        <v/>
      </c>
      <c r="X29">
        <f>HYPERLINK("https://klasma.github.io/Logging_0687/tillsyn/A 9977-2022 tillsynsbegäran.docx", "A 9977-2022")</f>
        <v/>
      </c>
      <c r="Y29">
        <f>HYPERLINK("https://klasma.github.io/Logging_0687/tillsynsmail/A 9977-2022 tillsynsbegäran mail.docx", "A 9977-2022")</f>
        <v/>
      </c>
    </row>
    <row r="30" ht="15" customHeight="1">
      <c r="A30" t="inlineStr">
        <is>
          <t>A 60263-2023</t>
        </is>
      </c>
      <c r="B30" s="1" t="n">
        <v>45258</v>
      </c>
      <c r="C30" s="1" t="n">
        <v>46195</v>
      </c>
      <c r="D30" t="inlineStr">
        <is>
          <t>JÖNKÖPINGS LÄN</t>
        </is>
      </c>
      <c r="E30" t="inlineStr">
        <is>
          <t>TRANÅS</t>
        </is>
      </c>
      <c r="F30" t="inlineStr">
        <is>
          <t>Kommuner</t>
        </is>
      </c>
      <c r="G30" t="n">
        <v>2.1</v>
      </c>
      <c r="H30" t="n">
        <v>1</v>
      </c>
      <c r="I30" t="n">
        <v>0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1</v>
      </c>
      <c r="R30" s="2" t="inlineStr">
        <is>
          <t>Grönvit nattviol</t>
        </is>
      </c>
      <c r="S30">
        <f>HYPERLINK("https://klasma.github.io/Logging_0687/artfynd/A 60263-2023 artfynd.xlsx", "A 60263-2023")</f>
        <v/>
      </c>
      <c r="T30">
        <f>HYPERLINK("https://klasma.github.io/Logging_0687/kartor/A 60263-2023 karta.png", "A 60263-2023")</f>
        <v/>
      </c>
      <c r="V30">
        <f>HYPERLINK("https://klasma.github.io/Logging_0687/klagomål/A 60263-2023 FSC-klagomål.docx", "A 60263-2023")</f>
        <v/>
      </c>
      <c r="W30">
        <f>HYPERLINK("https://klasma.github.io/Logging_0687/klagomålsmail/A 60263-2023 FSC-klagomål mail.docx", "A 60263-2023")</f>
        <v/>
      </c>
      <c r="X30">
        <f>HYPERLINK("https://klasma.github.io/Logging_0687/tillsyn/A 60263-2023 tillsynsbegäran.docx", "A 60263-2023")</f>
        <v/>
      </c>
      <c r="Y30">
        <f>HYPERLINK("https://klasma.github.io/Logging_0687/tillsynsmail/A 60263-2023 tillsynsbegäran mail.docx", "A 60263-2023")</f>
        <v/>
      </c>
    </row>
    <row r="31" ht="15" customHeight="1">
      <c r="A31" t="inlineStr">
        <is>
          <t>A 19465-2026</t>
        </is>
      </c>
      <c r="B31" s="1" t="n">
        <v>46129</v>
      </c>
      <c r="C31" s="1" t="n">
        <v>46195</v>
      </c>
      <c r="D31" t="inlineStr">
        <is>
          <t>JÖNKÖPINGS LÄN</t>
        </is>
      </c>
      <c r="E31" t="inlineStr">
        <is>
          <t>TRANÅS</t>
        </is>
      </c>
      <c r="F31" t="inlineStr">
        <is>
          <t>Kommuner</t>
        </is>
      </c>
      <c r="G31" t="n">
        <v>5.7</v>
      </c>
      <c r="H31" t="n">
        <v>0</v>
      </c>
      <c r="I31" t="n">
        <v>0</v>
      </c>
      <c r="J31" t="n">
        <v>0</v>
      </c>
      <c r="K31" t="n">
        <v>1</v>
      </c>
      <c r="L31" t="n">
        <v>0</v>
      </c>
      <c r="M31" t="n">
        <v>0</v>
      </c>
      <c r="N31" t="n">
        <v>0</v>
      </c>
      <c r="O31" t="n">
        <v>1</v>
      </c>
      <c r="P31" t="n">
        <v>1</v>
      </c>
      <c r="Q31" t="n">
        <v>1</v>
      </c>
      <c r="R31" s="2" t="inlineStr">
        <is>
          <t>Ryl</t>
        </is>
      </c>
      <c r="S31">
        <f>HYPERLINK("https://klasma.github.io/Logging_0687/artfynd/A 19465-2026 artfynd.xlsx", "A 19465-2026")</f>
        <v/>
      </c>
      <c r="T31">
        <f>HYPERLINK("https://klasma.github.io/Logging_0687/kartor/A 19465-2026 karta.png", "A 19465-2026")</f>
        <v/>
      </c>
      <c r="V31">
        <f>HYPERLINK("https://klasma.github.io/Logging_0687/klagomål/A 19465-2026 FSC-klagomål.docx", "A 19465-2026")</f>
        <v/>
      </c>
      <c r="W31">
        <f>HYPERLINK("https://klasma.github.io/Logging_0687/klagomålsmail/A 19465-2026 FSC-klagomål mail.docx", "A 19465-2026")</f>
        <v/>
      </c>
      <c r="X31">
        <f>HYPERLINK("https://klasma.github.io/Logging_0687/tillsyn/A 19465-2026 tillsynsbegäran.docx", "A 19465-2026")</f>
        <v/>
      </c>
      <c r="Y31">
        <f>HYPERLINK("https://klasma.github.io/Logging_0687/tillsynsmail/A 19465-2026 tillsynsbegäran mail.docx", "A 19465-2026")</f>
        <v/>
      </c>
    </row>
    <row r="32" ht="15" customHeight="1">
      <c r="A32" t="inlineStr">
        <is>
          <t>A 19369-2026</t>
        </is>
      </c>
      <c r="B32" s="1" t="n">
        <v>46133</v>
      </c>
      <c r="C32" s="1" t="n">
        <v>46195</v>
      </c>
      <c r="D32" t="inlineStr">
        <is>
          <t>JÖNKÖPINGS LÄN</t>
        </is>
      </c>
      <c r="E32" t="inlineStr">
        <is>
          <t>TRANÅS</t>
        </is>
      </c>
      <c r="F32" t="inlineStr">
        <is>
          <t>Kyrkan</t>
        </is>
      </c>
      <c r="G32" t="n">
        <v>4.6</v>
      </c>
      <c r="H32" t="n">
        <v>1</v>
      </c>
      <c r="I32" t="n">
        <v>0</v>
      </c>
      <c r="J32" t="n">
        <v>0</v>
      </c>
      <c r="K32" t="n">
        <v>1</v>
      </c>
      <c r="L32" t="n">
        <v>0</v>
      </c>
      <c r="M32" t="n">
        <v>0</v>
      </c>
      <c r="N32" t="n">
        <v>0</v>
      </c>
      <c r="O32" t="n">
        <v>1</v>
      </c>
      <c r="P32" t="n">
        <v>1</v>
      </c>
      <c r="Q32" t="n">
        <v>1</v>
      </c>
      <c r="R32" s="2" t="inlineStr">
        <is>
          <t>Knärot</t>
        </is>
      </c>
      <c r="S32">
        <f>HYPERLINK("https://klasma.github.io/Logging_0687/artfynd/A 19369-2026 artfynd.xlsx", "A 19369-2026")</f>
        <v/>
      </c>
      <c r="T32">
        <f>HYPERLINK("https://klasma.github.io/Logging_0687/kartor/A 19369-2026 karta.png", "A 19369-2026")</f>
        <v/>
      </c>
      <c r="U32">
        <f>HYPERLINK("https://klasma.github.io/Logging_0687/knärot/A 19369-2026 karta knärot.png", "A 19369-2026")</f>
        <v/>
      </c>
      <c r="V32">
        <f>HYPERLINK("https://klasma.github.io/Logging_0687/klagomål/A 19369-2026 FSC-klagomål.docx", "A 19369-2026")</f>
        <v/>
      </c>
      <c r="W32">
        <f>HYPERLINK("https://klasma.github.io/Logging_0687/klagomålsmail/A 19369-2026 FSC-klagomål mail.docx", "A 19369-2026")</f>
        <v/>
      </c>
      <c r="X32">
        <f>HYPERLINK("https://klasma.github.io/Logging_0687/tillsyn/A 19369-2026 tillsynsbegäran.docx", "A 19369-2026")</f>
        <v/>
      </c>
      <c r="Y32">
        <f>HYPERLINK("https://klasma.github.io/Logging_0687/tillsynsmail/A 19369-2026 tillsynsbegäran mail.docx", "A 19369-2026")</f>
        <v/>
      </c>
    </row>
    <row r="33" ht="15" customHeight="1">
      <c r="A33" t="inlineStr">
        <is>
          <t>A 19695-2025</t>
        </is>
      </c>
      <c r="B33" s="1" t="n">
        <v>45770</v>
      </c>
      <c r="C33" s="1" t="n">
        <v>46195</v>
      </c>
      <c r="D33" t="inlineStr">
        <is>
          <t>JÖNKÖPINGS LÄN</t>
        </is>
      </c>
      <c r="E33" t="inlineStr">
        <is>
          <t>TRANÅS</t>
        </is>
      </c>
      <c r="G33" t="n">
        <v>1.1</v>
      </c>
      <c r="H33" t="n">
        <v>0</v>
      </c>
      <c r="I33" t="n">
        <v>0</v>
      </c>
      <c r="J33" t="n">
        <v>0</v>
      </c>
      <c r="K33" t="n">
        <v>0</v>
      </c>
      <c r="L33" t="n">
        <v>1</v>
      </c>
      <c r="M33" t="n">
        <v>0</v>
      </c>
      <c r="N33" t="n">
        <v>0</v>
      </c>
      <c r="O33" t="n">
        <v>1</v>
      </c>
      <c r="P33" t="n">
        <v>1</v>
      </c>
      <c r="Q33" t="n">
        <v>1</v>
      </c>
      <c r="R33" s="2" t="inlineStr">
        <is>
          <t>Ask</t>
        </is>
      </c>
      <c r="S33">
        <f>HYPERLINK("https://klasma.github.io/Logging_0687/artfynd/A 19695-2025 artfynd.xlsx", "A 19695-2025")</f>
        <v/>
      </c>
      <c r="T33">
        <f>HYPERLINK("https://klasma.github.io/Logging_0687/kartor/A 19695-2025 karta.png", "A 19695-2025")</f>
        <v/>
      </c>
      <c r="V33">
        <f>HYPERLINK("https://klasma.github.io/Logging_0687/klagomål/A 19695-2025 FSC-klagomål.docx", "A 19695-2025")</f>
        <v/>
      </c>
      <c r="W33">
        <f>HYPERLINK("https://klasma.github.io/Logging_0687/klagomålsmail/A 19695-2025 FSC-klagomål mail.docx", "A 19695-2025")</f>
        <v/>
      </c>
      <c r="X33">
        <f>HYPERLINK("https://klasma.github.io/Logging_0687/tillsyn/A 19695-2025 tillsynsbegäran.docx", "A 19695-2025")</f>
        <v/>
      </c>
      <c r="Y33">
        <f>HYPERLINK("https://klasma.github.io/Logging_0687/tillsynsmail/A 19695-2025 tillsynsbegäran mail.docx", "A 19695-2025")</f>
        <v/>
      </c>
    </row>
    <row r="34" ht="15" customHeight="1">
      <c r="A34" t="inlineStr">
        <is>
          <t>A 10468-2022</t>
        </is>
      </c>
      <c r="B34" s="1" t="n">
        <v>44623</v>
      </c>
      <c r="C34" s="1" t="n">
        <v>46195</v>
      </c>
      <c r="D34" t="inlineStr">
        <is>
          <t>JÖNKÖPINGS LÄN</t>
        </is>
      </c>
      <c r="E34" t="inlineStr">
        <is>
          <t>TRANÅS</t>
        </is>
      </c>
      <c r="G34" t="n">
        <v>1.1</v>
      </c>
      <c r="H34" t="n">
        <v>0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s="2" t="inlineStr"/>
    </row>
    <row r="35" ht="15" customHeight="1">
      <c r="A35" t="inlineStr">
        <is>
          <t>A 19131-2022</t>
        </is>
      </c>
      <c r="B35" s="1" t="n">
        <v>44691</v>
      </c>
      <c r="C35" s="1" t="n">
        <v>46195</v>
      </c>
      <c r="D35" t="inlineStr">
        <is>
          <t>JÖNKÖPINGS LÄN</t>
        </is>
      </c>
      <c r="E35" t="inlineStr">
        <is>
          <t>TRANÅS</t>
        </is>
      </c>
      <c r="G35" t="n">
        <v>5</v>
      </c>
      <c r="H35" t="n">
        <v>0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s="2" t="inlineStr"/>
    </row>
    <row r="36" ht="15" customHeight="1">
      <c r="A36" t="inlineStr">
        <is>
          <t>A 5955-2022</t>
        </is>
      </c>
      <c r="B36" s="1" t="n">
        <v>44599</v>
      </c>
      <c r="C36" s="1" t="n">
        <v>46195</v>
      </c>
      <c r="D36" t="inlineStr">
        <is>
          <t>JÖNKÖPINGS LÄN</t>
        </is>
      </c>
      <c r="E36" t="inlineStr">
        <is>
          <t>TRANÅS</t>
        </is>
      </c>
      <c r="G36" t="n">
        <v>0.5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 ht="15" customHeight="1">
      <c r="A37" t="inlineStr">
        <is>
          <t>A 8631-2022</t>
        </is>
      </c>
      <c r="B37" s="1" t="n">
        <v>44613</v>
      </c>
      <c r="C37" s="1" t="n">
        <v>46195</v>
      </c>
      <c r="D37" t="inlineStr">
        <is>
          <t>JÖNKÖPINGS LÄN</t>
        </is>
      </c>
      <c r="E37" t="inlineStr">
        <is>
          <t>TRANÅS</t>
        </is>
      </c>
      <c r="G37" t="n">
        <v>1.5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53329-2022</t>
        </is>
      </c>
      <c r="B38" s="1" t="n">
        <v>44879</v>
      </c>
      <c r="C38" s="1" t="n">
        <v>46195</v>
      </c>
      <c r="D38" t="inlineStr">
        <is>
          <t>JÖNKÖPINGS LÄN</t>
        </is>
      </c>
      <c r="E38" t="inlineStr">
        <is>
          <t>TRANÅS</t>
        </is>
      </c>
      <c r="G38" t="n">
        <v>0.6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66402-2021</t>
        </is>
      </c>
      <c r="B39" s="1" t="n">
        <v>44518</v>
      </c>
      <c r="C39" s="1" t="n">
        <v>46195</v>
      </c>
      <c r="D39" t="inlineStr">
        <is>
          <t>JÖNKÖPINGS LÄN</t>
        </is>
      </c>
      <c r="E39" t="inlineStr">
        <is>
          <t>TRANÅS</t>
        </is>
      </c>
      <c r="G39" t="n">
        <v>0.8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61179-2021</t>
        </is>
      </c>
      <c r="B40" s="1" t="n">
        <v>44498</v>
      </c>
      <c r="C40" s="1" t="n">
        <v>46195</v>
      </c>
      <c r="D40" t="inlineStr">
        <is>
          <t>JÖNKÖPINGS LÄN</t>
        </is>
      </c>
      <c r="E40" t="inlineStr">
        <is>
          <t>TRANÅS</t>
        </is>
      </c>
      <c r="G40" t="n">
        <v>0.5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11550-2022</t>
        </is>
      </c>
      <c r="B41" s="1" t="n">
        <v>44631</v>
      </c>
      <c r="C41" s="1" t="n">
        <v>46195</v>
      </c>
      <c r="D41" t="inlineStr">
        <is>
          <t>JÖNKÖPINGS LÄN</t>
        </is>
      </c>
      <c r="E41" t="inlineStr">
        <is>
          <t>TRANÅS</t>
        </is>
      </c>
      <c r="G41" t="n">
        <v>1.2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248-2022</t>
        </is>
      </c>
      <c r="B42" s="1" t="n">
        <v>44565</v>
      </c>
      <c r="C42" s="1" t="n">
        <v>46195</v>
      </c>
      <c r="D42" t="inlineStr">
        <is>
          <t>JÖNKÖPINGS LÄN</t>
        </is>
      </c>
      <c r="E42" t="inlineStr">
        <is>
          <t>TRANÅS</t>
        </is>
      </c>
      <c r="G42" t="n">
        <v>1.5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7008-2022</t>
        </is>
      </c>
      <c r="B43" s="1" t="n">
        <v>44603</v>
      </c>
      <c r="C43" s="1" t="n">
        <v>46195</v>
      </c>
      <c r="D43" t="inlineStr">
        <is>
          <t>JÖNKÖPINGS LÄN</t>
        </is>
      </c>
      <c r="E43" t="inlineStr">
        <is>
          <t>TRANÅS</t>
        </is>
      </c>
      <c r="G43" t="n">
        <v>4.9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7009-2022</t>
        </is>
      </c>
      <c r="B44" s="1" t="n">
        <v>44603</v>
      </c>
      <c r="C44" s="1" t="n">
        <v>46195</v>
      </c>
      <c r="D44" t="inlineStr">
        <is>
          <t>JÖNKÖPINGS LÄN</t>
        </is>
      </c>
      <c r="E44" t="inlineStr">
        <is>
          <t>TRANÅS</t>
        </is>
      </c>
      <c r="G44" t="n">
        <v>12.3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41376-2021</t>
        </is>
      </c>
      <c r="B45" s="1" t="n">
        <v>44424</v>
      </c>
      <c r="C45" s="1" t="n">
        <v>46195</v>
      </c>
      <c r="D45" t="inlineStr">
        <is>
          <t>JÖNKÖPINGS LÄN</t>
        </is>
      </c>
      <c r="E45" t="inlineStr">
        <is>
          <t>TRANÅS</t>
        </is>
      </c>
      <c r="F45" t="inlineStr">
        <is>
          <t>Allmännings- och besparingsskogar</t>
        </is>
      </c>
      <c r="G45" t="n">
        <v>2.3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40103-2021</t>
        </is>
      </c>
      <c r="B46" s="1" t="n">
        <v>44418</v>
      </c>
      <c r="C46" s="1" t="n">
        <v>46195</v>
      </c>
      <c r="D46" t="inlineStr">
        <is>
          <t>JÖNKÖPINGS LÄN</t>
        </is>
      </c>
      <c r="E46" t="inlineStr">
        <is>
          <t>TRANÅS</t>
        </is>
      </c>
      <c r="G46" t="n">
        <v>1.3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46383-2022</t>
        </is>
      </c>
      <c r="B47" s="1" t="n">
        <v>44846</v>
      </c>
      <c r="C47" s="1" t="n">
        <v>46195</v>
      </c>
      <c r="D47" t="inlineStr">
        <is>
          <t>JÖNKÖPINGS LÄN</t>
        </is>
      </c>
      <c r="E47" t="inlineStr">
        <is>
          <t>TRANÅS</t>
        </is>
      </c>
      <c r="G47" t="n">
        <v>7.2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63513-2021</t>
        </is>
      </c>
      <c r="B48" s="1" t="n">
        <v>44508</v>
      </c>
      <c r="C48" s="1" t="n">
        <v>46195</v>
      </c>
      <c r="D48" t="inlineStr">
        <is>
          <t>JÖNKÖPINGS LÄN</t>
        </is>
      </c>
      <c r="E48" t="inlineStr">
        <is>
          <t>TRANÅS</t>
        </is>
      </c>
      <c r="G48" t="n">
        <v>0.7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57179-2021</t>
        </is>
      </c>
      <c r="B49" s="1" t="n">
        <v>44482</v>
      </c>
      <c r="C49" s="1" t="n">
        <v>46195</v>
      </c>
      <c r="D49" t="inlineStr">
        <is>
          <t>JÖNKÖPINGS LÄN</t>
        </is>
      </c>
      <c r="E49" t="inlineStr">
        <is>
          <t>TRANÅS</t>
        </is>
      </c>
      <c r="G49" t="n">
        <v>1.3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53330-2022</t>
        </is>
      </c>
      <c r="B50" s="1" t="n">
        <v>44879</v>
      </c>
      <c r="C50" s="1" t="n">
        <v>46195</v>
      </c>
      <c r="D50" t="inlineStr">
        <is>
          <t>JÖNKÖPINGS LÄN</t>
        </is>
      </c>
      <c r="E50" t="inlineStr">
        <is>
          <t>TRANÅS</t>
        </is>
      </c>
      <c r="G50" t="n">
        <v>0.8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2729-2022</t>
        </is>
      </c>
      <c r="B51" s="1" t="n">
        <v>44580</v>
      </c>
      <c r="C51" s="1" t="n">
        <v>46195</v>
      </c>
      <c r="D51" t="inlineStr">
        <is>
          <t>JÖNKÖPINGS LÄN</t>
        </is>
      </c>
      <c r="E51" t="inlineStr">
        <is>
          <t>TRANÅS</t>
        </is>
      </c>
      <c r="G51" t="n">
        <v>2.6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20643-2022</t>
        </is>
      </c>
      <c r="B52" s="1" t="n">
        <v>44700</v>
      </c>
      <c r="C52" s="1" t="n">
        <v>46195</v>
      </c>
      <c r="D52" t="inlineStr">
        <is>
          <t>JÖNKÖPINGS LÄN</t>
        </is>
      </c>
      <c r="E52" t="inlineStr">
        <is>
          <t>TRANÅS</t>
        </is>
      </c>
      <c r="F52" t="inlineStr">
        <is>
          <t>Allmännings- och besparingsskogar</t>
        </is>
      </c>
      <c r="G52" t="n">
        <v>13.9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73243-2021</t>
        </is>
      </c>
      <c r="B53" s="1" t="n">
        <v>44550</v>
      </c>
      <c r="C53" s="1" t="n">
        <v>46195</v>
      </c>
      <c r="D53" t="inlineStr">
        <is>
          <t>JÖNKÖPINGS LÄN</t>
        </is>
      </c>
      <c r="E53" t="inlineStr">
        <is>
          <t>TRANÅS</t>
        </is>
      </c>
      <c r="G53" t="n">
        <v>7.2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60762-2021</t>
        </is>
      </c>
      <c r="B54" s="1" t="n">
        <v>44496</v>
      </c>
      <c r="C54" s="1" t="n">
        <v>46195</v>
      </c>
      <c r="D54" t="inlineStr">
        <is>
          <t>JÖNKÖPINGS LÄN</t>
        </is>
      </c>
      <c r="E54" t="inlineStr">
        <is>
          <t>TRANÅS</t>
        </is>
      </c>
      <c r="G54" t="n">
        <v>0.7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65975-2021</t>
        </is>
      </c>
      <c r="B55" s="1" t="n">
        <v>44517</v>
      </c>
      <c r="C55" s="1" t="n">
        <v>46195</v>
      </c>
      <c r="D55" t="inlineStr">
        <is>
          <t>JÖNKÖPINGS LÄN</t>
        </is>
      </c>
      <c r="E55" t="inlineStr">
        <is>
          <t>TRANÅS</t>
        </is>
      </c>
      <c r="G55" t="n">
        <v>1.5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17549-2022</t>
        </is>
      </c>
      <c r="B56" s="1" t="n">
        <v>44679</v>
      </c>
      <c r="C56" s="1" t="n">
        <v>46195</v>
      </c>
      <c r="D56" t="inlineStr">
        <is>
          <t>JÖNKÖPINGS LÄN</t>
        </is>
      </c>
      <c r="E56" t="inlineStr">
        <is>
          <t>TRANÅS</t>
        </is>
      </c>
      <c r="G56" t="n">
        <v>0.5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32305-2021</t>
        </is>
      </c>
      <c r="B57" s="1" t="n">
        <v>44371</v>
      </c>
      <c r="C57" s="1" t="n">
        <v>46195</v>
      </c>
      <c r="D57" t="inlineStr">
        <is>
          <t>JÖNKÖPINGS LÄN</t>
        </is>
      </c>
      <c r="E57" t="inlineStr">
        <is>
          <t>TRANÅS</t>
        </is>
      </c>
      <c r="F57" t="inlineStr">
        <is>
          <t>Kyrkan</t>
        </is>
      </c>
      <c r="G57" t="n">
        <v>4.6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3985-2022</t>
        </is>
      </c>
      <c r="B58" s="1" t="n">
        <v>44587</v>
      </c>
      <c r="C58" s="1" t="n">
        <v>46195</v>
      </c>
      <c r="D58" t="inlineStr">
        <is>
          <t>JÖNKÖPINGS LÄN</t>
        </is>
      </c>
      <c r="E58" t="inlineStr">
        <is>
          <t>TRANÅS</t>
        </is>
      </c>
      <c r="G58" t="n">
        <v>0.8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45745-2021</t>
        </is>
      </c>
      <c r="B59" s="1" t="n">
        <v>44441</v>
      </c>
      <c r="C59" s="1" t="n">
        <v>46195</v>
      </c>
      <c r="D59" t="inlineStr">
        <is>
          <t>JÖNKÖPINGS LÄN</t>
        </is>
      </c>
      <c r="E59" t="inlineStr">
        <is>
          <t>TRANÅS</t>
        </is>
      </c>
      <c r="G59" t="n">
        <v>1.1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35694-2021</t>
        </is>
      </c>
      <c r="B60" s="1" t="n">
        <v>44386</v>
      </c>
      <c r="C60" s="1" t="n">
        <v>46195</v>
      </c>
      <c r="D60" t="inlineStr">
        <is>
          <t>JÖNKÖPINGS LÄN</t>
        </is>
      </c>
      <c r="E60" t="inlineStr">
        <is>
          <t>TRANÅS</t>
        </is>
      </c>
      <c r="G60" t="n">
        <v>1.6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55679-2022</t>
        </is>
      </c>
      <c r="B61" s="1" t="n">
        <v>44888</v>
      </c>
      <c r="C61" s="1" t="n">
        <v>46195</v>
      </c>
      <c r="D61" t="inlineStr">
        <is>
          <t>JÖNKÖPINGS LÄN</t>
        </is>
      </c>
      <c r="E61" t="inlineStr">
        <is>
          <t>TRANÅS</t>
        </is>
      </c>
      <c r="G61" t="n">
        <v>5.5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35691-2021</t>
        </is>
      </c>
      <c r="B62" s="1" t="n">
        <v>44386</v>
      </c>
      <c r="C62" s="1" t="n">
        <v>46195</v>
      </c>
      <c r="D62" t="inlineStr">
        <is>
          <t>JÖNKÖPINGS LÄN</t>
        </is>
      </c>
      <c r="E62" t="inlineStr">
        <is>
          <t>TRANÅS</t>
        </is>
      </c>
      <c r="G62" t="n">
        <v>8.5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35696-2021</t>
        </is>
      </c>
      <c r="B63" s="1" t="n">
        <v>44386</v>
      </c>
      <c r="C63" s="1" t="n">
        <v>46195</v>
      </c>
      <c r="D63" t="inlineStr">
        <is>
          <t>JÖNKÖPINGS LÄN</t>
        </is>
      </c>
      <c r="E63" t="inlineStr">
        <is>
          <t>TRANÅS</t>
        </is>
      </c>
      <c r="G63" t="n">
        <v>1.3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37221-2024</t>
        </is>
      </c>
      <c r="B64" s="1" t="n">
        <v>45539</v>
      </c>
      <c r="C64" s="1" t="n">
        <v>46195</v>
      </c>
      <c r="D64" t="inlineStr">
        <is>
          <t>JÖNKÖPINGS LÄN</t>
        </is>
      </c>
      <c r="E64" t="inlineStr">
        <is>
          <t>TRANÅS</t>
        </is>
      </c>
      <c r="G64" t="n">
        <v>1.4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32294-2021</t>
        </is>
      </c>
      <c r="B65" s="1" t="n">
        <v>44371</v>
      </c>
      <c r="C65" s="1" t="n">
        <v>46195</v>
      </c>
      <c r="D65" t="inlineStr">
        <is>
          <t>JÖNKÖPINGS LÄN</t>
        </is>
      </c>
      <c r="E65" t="inlineStr">
        <is>
          <t>TRANÅS</t>
        </is>
      </c>
      <c r="F65" t="inlineStr">
        <is>
          <t>Kyrkan</t>
        </is>
      </c>
      <c r="G65" t="n">
        <v>5.3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22404-2023</t>
        </is>
      </c>
      <c r="B66" s="1" t="n">
        <v>45070</v>
      </c>
      <c r="C66" s="1" t="n">
        <v>46195</v>
      </c>
      <c r="D66" t="inlineStr">
        <is>
          <t>JÖNKÖPINGS LÄN</t>
        </is>
      </c>
      <c r="E66" t="inlineStr">
        <is>
          <t>TRANÅS</t>
        </is>
      </c>
      <c r="G66" t="n">
        <v>2.5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12885-2023</t>
        </is>
      </c>
      <c r="B67" s="1" t="n">
        <v>45001</v>
      </c>
      <c r="C67" s="1" t="n">
        <v>46195</v>
      </c>
      <c r="D67" t="inlineStr">
        <is>
          <t>JÖNKÖPINGS LÄN</t>
        </is>
      </c>
      <c r="E67" t="inlineStr">
        <is>
          <t>TRANÅS</t>
        </is>
      </c>
      <c r="G67" t="n">
        <v>5.4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12474-2024</t>
        </is>
      </c>
      <c r="B68" s="1" t="n">
        <v>45379</v>
      </c>
      <c r="C68" s="1" t="n">
        <v>46195</v>
      </c>
      <c r="D68" t="inlineStr">
        <is>
          <t>JÖNKÖPINGS LÄN</t>
        </is>
      </c>
      <c r="E68" t="inlineStr">
        <is>
          <t>TRANÅS</t>
        </is>
      </c>
      <c r="G68" t="n">
        <v>1.1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12476-2024</t>
        </is>
      </c>
      <c r="B69" s="1" t="n">
        <v>45379</v>
      </c>
      <c r="C69" s="1" t="n">
        <v>46195</v>
      </c>
      <c r="D69" t="inlineStr">
        <is>
          <t>JÖNKÖPINGS LÄN</t>
        </is>
      </c>
      <c r="E69" t="inlineStr">
        <is>
          <t>TRANÅS</t>
        </is>
      </c>
      <c r="G69" t="n">
        <v>0.9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6043-2023</t>
        </is>
      </c>
      <c r="B70" s="1" t="n">
        <v>44964</v>
      </c>
      <c r="C70" s="1" t="n">
        <v>46195</v>
      </c>
      <c r="D70" t="inlineStr">
        <is>
          <t>JÖNKÖPINGS LÄN</t>
        </is>
      </c>
      <c r="E70" t="inlineStr">
        <is>
          <t>TRANÅS</t>
        </is>
      </c>
      <c r="G70" t="n">
        <v>1.2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31232-2022</t>
        </is>
      </c>
      <c r="B71" s="1" t="n">
        <v>44771</v>
      </c>
      <c r="C71" s="1" t="n">
        <v>46195</v>
      </c>
      <c r="D71" t="inlineStr">
        <is>
          <t>JÖNKÖPINGS LÄN</t>
        </is>
      </c>
      <c r="E71" t="inlineStr">
        <is>
          <t>TRANÅS</t>
        </is>
      </c>
      <c r="G71" t="n">
        <v>2.2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67418-2021</t>
        </is>
      </c>
      <c r="B72" s="1" t="n">
        <v>44524</v>
      </c>
      <c r="C72" s="1" t="n">
        <v>46195</v>
      </c>
      <c r="D72" t="inlineStr">
        <is>
          <t>JÖNKÖPINGS LÄN</t>
        </is>
      </c>
      <c r="E72" t="inlineStr">
        <is>
          <t>TRANÅS</t>
        </is>
      </c>
      <c r="G72" t="n">
        <v>0.5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644-2023</t>
        </is>
      </c>
      <c r="B73" s="1" t="n">
        <v>44930</v>
      </c>
      <c r="C73" s="1" t="n">
        <v>46195</v>
      </c>
      <c r="D73" t="inlineStr">
        <is>
          <t>JÖNKÖPINGS LÄN</t>
        </is>
      </c>
      <c r="E73" t="inlineStr">
        <is>
          <t>TRANÅS</t>
        </is>
      </c>
      <c r="G73" t="n">
        <v>2.1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3121-2025</t>
        </is>
      </c>
      <c r="B74" s="1" t="n">
        <v>45678</v>
      </c>
      <c r="C74" s="1" t="n">
        <v>46195</v>
      </c>
      <c r="D74" t="inlineStr">
        <is>
          <t>JÖNKÖPINGS LÄN</t>
        </is>
      </c>
      <c r="E74" t="inlineStr">
        <is>
          <t>TRANÅS</t>
        </is>
      </c>
      <c r="F74" t="inlineStr">
        <is>
          <t>Allmännings- och besparingsskogar</t>
        </is>
      </c>
      <c r="G74" t="n">
        <v>6.1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5066-2025</t>
        </is>
      </c>
      <c r="B75" s="1" t="n">
        <v>45691</v>
      </c>
      <c r="C75" s="1" t="n">
        <v>46195</v>
      </c>
      <c r="D75" t="inlineStr">
        <is>
          <t>JÖNKÖPINGS LÄN</t>
        </is>
      </c>
      <c r="E75" t="inlineStr">
        <is>
          <t>TRANÅS</t>
        </is>
      </c>
      <c r="G75" t="n">
        <v>0.7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18084-2024</t>
        </is>
      </c>
      <c r="B76" s="1" t="n">
        <v>45420</v>
      </c>
      <c r="C76" s="1" t="n">
        <v>46195</v>
      </c>
      <c r="D76" t="inlineStr">
        <is>
          <t>JÖNKÖPINGS LÄN</t>
        </is>
      </c>
      <c r="E76" t="inlineStr">
        <is>
          <t>TRANÅS</t>
        </is>
      </c>
      <c r="G76" t="n">
        <v>1.5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53489-2023</t>
        </is>
      </c>
      <c r="B77" s="1" t="n">
        <v>45230</v>
      </c>
      <c r="C77" s="1" t="n">
        <v>46195</v>
      </c>
      <c r="D77" t="inlineStr">
        <is>
          <t>JÖNKÖPINGS LÄN</t>
        </is>
      </c>
      <c r="E77" t="inlineStr">
        <is>
          <t>TRANÅS</t>
        </is>
      </c>
      <c r="G77" t="n">
        <v>0.8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12070-2024</t>
        </is>
      </c>
      <c r="B78" s="1" t="n">
        <v>45377</v>
      </c>
      <c r="C78" s="1" t="n">
        <v>46195</v>
      </c>
      <c r="D78" t="inlineStr">
        <is>
          <t>JÖNKÖPINGS LÄN</t>
        </is>
      </c>
      <c r="E78" t="inlineStr">
        <is>
          <t>TRANÅS</t>
        </is>
      </c>
      <c r="G78" t="n">
        <v>12.5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4563-2024</t>
        </is>
      </c>
      <c r="B79" s="1" t="n">
        <v>45327</v>
      </c>
      <c r="C79" s="1" t="n">
        <v>46195</v>
      </c>
      <c r="D79" t="inlineStr">
        <is>
          <t>JÖNKÖPINGS LÄN</t>
        </is>
      </c>
      <c r="E79" t="inlineStr">
        <is>
          <t>TRANÅS</t>
        </is>
      </c>
      <c r="G79" t="n">
        <v>6.1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19771-2023</t>
        </is>
      </c>
      <c r="B80" s="1" t="n">
        <v>45051</v>
      </c>
      <c r="C80" s="1" t="n">
        <v>46195</v>
      </c>
      <c r="D80" t="inlineStr">
        <is>
          <t>JÖNKÖPINGS LÄN</t>
        </is>
      </c>
      <c r="E80" t="inlineStr">
        <is>
          <t>TRANÅS</t>
        </is>
      </c>
      <c r="G80" t="n">
        <v>4.2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31694-2024</t>
        </is>
      </c>
      <c r="B81" s="1" t="n">
        <v>45508</v>
      </c>
      <c r="C81" s="1" t="n">
        <v>46195</v>
      </c>
      <c r="D81" t="inlineStr">
        <is>
          <t>JÖNKÖPINGS LÄN</t>
        </is>
      </c>
      <c r="E81" t="inlineStr">
        <is>
          <t>TRANÅS</t>
        </is>
      </c>
      <c r="G81" t="n">
        <v>1.2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36215-2022</t>
        </is>
      </c>
      <c r="B82" s="1" t="n">
        <v>44803</v>
      </c>
      <c r="C82" s="1" t="n">
        <v>46195</v>
      </c>
      <c r="D82" t="inlineStr">
        <is>
          <t>JÖNKÖPINGS LÄN</t>
        </is>
      </c>
      <c r="E82" t="inlineStr">
        <is>
          <t>TRANÅS</t>
        </is>
      </c>
      <c r="G82" t="n">
        <v>2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59017-2021</t>
        </is>
      </c>
      <c r="B83" s="1" t="n">
        <v>44489</v>
      </c>
      <c r="C83" s="1" t="n">
        <v>46195</v>
      </c>
      <c r="D83" t="inlineStr">
        <is>
          <t>JÖNKÖPINGS LÄN</t>
        </is>
      </c>
      <c r="E83" t="inlineStr">
        <is>
          <t>TRANÅS</t>
        </is>
      </c>
      <c r="G83" t="n">
        <v>1.5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54791-2023</t>
        </is>
      </c>
      <c r="B84" s="1" t="n">
        <v>45229</v>
      </c>
      <c r="C84" s="1" t="n">
        <v>46195</v>
      </c>
      <c r="D84" t="inlineStr">
        <is>
          <t>JÖNKÖPINGS LÄN</t>
        </is>
      </c>
      <c r="E84" t="inlineStr">
        <is>
          <t>TRANÅS</t>
        </is>
      </c>
      <c r="G84" t="n">
        <v>1.8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37160-2023</t>
        </is>
      </c>
      <c r="B85" s="1" t="n">
        <v>45154</v>
      </c>
      <c r="C85" s="1" t="n">
        <v>46195</v>
      </c>
      <c r="D85" t="inlineStr">
        <is>
          <t>JÖNKÖPINGS LÄN</t>
        </is>
      </c>
      <c r="E85" t="inlineStr">
        <is>
          <t>TRANÅS</t>
        </is>
      </c>
      <c r="G85" t="n">
        <v>2.5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22726-2022</t>
        </is>
      </c>
      <c r="B86" s="1" t="n">
        <v>44714</v>
      </c>
      <c r="C86" s="1" t="n">
        <v>46195</v>
      </c>
      <c r="D86" t="inlineStr">
        <is>
          <t>JÖNKÖPINGS LÄN</t>
        </is>
      </c>
      <c r="E86" t="inlineStr">
        <is>
          <t>TRANÅS</t>
        </is>
      </c>
      <c r="G86" t="n">
        <v>2.2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20549-2023</t>
        </is>
      </c>
      <c r="B87" s="1" t="n">
        <v>45057</v>
      </c>
      <c r="C87" s="1" t="n">
        <v>46195</v>
      </c>
      <c r="D87" t="inlineStr">
        <is>
          <t>JÖNKÖPINGS LÄN</t>
        </is>
      </c>
      <c r="E87" t="inlineStr">
        <is>
          <t>TRANÅS</t>
        </is>
      </c>
      <c r="G87" t="n">
        <v>1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52531-2021</t>
        </is>
      </c>
      <c r="B88" s="1" t="n">
        <v>44466</v>
      </c>
      <c r="C88" s="1" t="n">
        <v>46195</v>
      </c>
      <c r="D88" t="inlineStr">
        <is>
          <t>JÖNKÖPINGS LÄN</t>
        </is>
      </c>
      <c r="E88" t="inlineStr">
        <is>
          <t>TRANÅS</t>
        </is>
      </c>
      <c r="G88" t="n">
        <v>1.6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54703-2022</t>
        </is>
      </c>
      <c r="B89" s="1" t="n">
        <v>44881</v>
      </c>
      <c r="C89" s="1" t="n">
        <v>46195</v>
      </c>
      <c r="D89" t="inlineStr">
        <is>
          <t>JÖNKÖPINGS LÄN</t>
        </is>
      </c>
      <c r="E89" t="inlineStr">
        <is>
          <t>TRANÅS</t>
        </is>
      </c>
      <c r="G89" t="n">
        <v>6.1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17617-2023</t>
        </is>
      </c>
      <c r="B90" s="1" t="n">
        <v>45036</v>
      </c>
      <c r="C90" s="1" t="n">
        <v>46195</v>
      </c>
      <c r="D90" t="inlineStr">
        <is>
          <t>JÖNKÖPINGS LÄN</t>
        </is>
      </c>
      <c r="E90" t="inlineStr">
        <is>
          <t>TRANÅS</t>
        </is>
      </c>
      <c r="G90" t="n">
        <v>1.4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57038-2021</t>
        </is>
      </c>
      <c r="B91" s="1" t="n">
        <v>44482</v>
      </c>
      <c r="C91" s="1" t="n">
        <v>46195</v>
      </c>
      <c r="D91" t="inlineStr">
        <is>
          <t>JÖNKÖPINGS LÄN</t>
        </is>
      </c>
      <c r="E91" t="inlineStr">
        <is>
          <t>TRANÅS</t>
        </is>
      </c>
      <c r="G91" t="n">
        <v>1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73785-2021</t>
        </is>
      </c>
      <c r="B92" s="1" t="n">
        <v>44552</v>
      </c>
      <c r="C92" s="1" t="n">
        <v>46195</v>
      </c>
      <c r="D92" t="inlineStr">
        <is>
          <t>JÖNKÖPINGS LÄN</t>
        </is>
      </c>
      <c r="E92" t="inlineStr">
        <is>
          <t>TRANÅS</t>
        </is>
      </c>
      <c r="F92" t="inlineStr">
        <is>
          <t>Allmännings- och besparingsskogar</t>
        </is>
      </c>
      <c r="G92" t="n">
        <v>14.9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8348-2023</t>
        </is>
      </c>
      <c r="B93" s="1" t="n">
        <v>44977</v>
      </c>
      <c r="C93" s="1" t="n">
        <v>46195</v>
      </c>
      <c r="D93" t="inlineStr">
        <is>
          <t>JÖNKÖPINGS LÄN</t>
        </is>
      </c>
      <c r="E93" t="inlineStr">
        <is>
          <t>TRANÅS</t>
        </is>
      </c>
      <c r="G93" t="n">
        <v>2.1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20558-2023</t>
        </is>
      </c>
      <c r="B94" s="1" t="n">
        <v>45057</v>
      </c>
      <c r="C94" s="1" t="n">
        <v>46195</v>
      </c>
      <c r="D94" t="inlineStr">
        <is>
          <t>JÖNKÖPINGS LÄN</t>
        </is>
      </c>
      <c r="E94" t="inlineStr">
        <is>
          <t>TRANÅS</t>
        </is>
      </c>
      <c r="G94" t="n">
        <v>0.9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40212-2022</t>
        </is>
      </c>
      <c r="B95" s="1" t="n">
        <v>44820</v>
      </c>
      <c r="C95" s="1" t="n">
        <v>46195</v>
      </c>
      <c r="D95" t="inlineStr">
        <is>
          <t>JÖNKÖPINGS LÄN</t>
        </is>
      </c>
      <c r="E95" t="inlineStr">
        <is>
          <t>TRANÅS</t>
        </is>
      </c>
      <c r="G95" t="n">
        <v>1.4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1516-2024</t>
        </is>
      </c>
      <c r="B96" s="1" t="n">
        <v>45306</v>
      </c>
      <c r="C96" s="1" t="n">
        <v>46195</v>
      </c>
      <c r="D96" t="inlineStr">
        <is>
          <t>JÖNKÖPINGS LÄN</t>
        </is>
      </c>
      <c r="E96" t="inlineStr">
        <is>
          <t>TRANÅS</t>
        </is>
      </c>
      <c r="G96" t="n">
        <v>2.3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17149-2024</t>
        </is>
      </c>
      <c r="B97" s="1" t="n">
        <v>45412</v>
      </c>
      <c r="C97" s="1" t="n">
        <v>46195</v>
      </c>
      <c r="D97" t="inlineStr">
        <is>
          <t>JÖNKÖPINGS LÄN</t>
        </is>
      </c>
      <c r="E97" t="inlineStr">
        <is>
          <t>TRANÅS</t>
        </is>
      </c>
      <c r="G97" t="n">
        <v>4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17963-2024</t>
        </is>
      </c>
      <c r="B98" s="1" t="n">
        <v>45419</v>
      </c>
      <c r="C98" s="1" t="n">
        <v>46195</v>
      </c>
      <c r="D98" t="inlineStr">
        <is>
          <t>JÖNKÖPINGS LÄN</t>
        </is>
      </c>
      <c r="E98" t="inlineStr">
        <is>
          <t>TRANÅS</t>
        </is>
      </c>
      <c r="G98" t="n">
        <v>2.6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24967-2023</t>
        </is>
      </c>
      <c r="B99" s="1" t="n">
        <v>45085</v>
      </c>
      <c r="C99" s="1" t="n">
        <v>46195</v>
      </c>
      <c r="D99" t="inlineStr">
        <is>
          <t>JÖNKÖPINGS LÄN</t>
        </is>
      </c>
      <c r="E99" t="inlineStr">
        <is>
          <t>TRANÅS</t>
        </is>
      </c>
      <c r="F99" t="inlineStr">
        <is>
          <t>Kommuner</t>
        </is>
      </c>
      <c r="G99" t="n">
        <v>1.5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36998-2024</t>
        </is>
      </c>
      <c r="B100" s="1" t="n">
        <v>45539</v>
      </c>
      <c r="C100" s="1" t="n">
        <v>46195</v>
      </c>
      <c r="D100" t="inlineStr">
        <is>
          <t>JÖNKÖPINGS LÄN</t>
        </is>
      </c>
      <c r="E100" t="inlineStr">
        <is>
          <t>TRANÅS</t>
        </is>
      </c>
      <c r="G100" t="n">
        <v>5.3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46127-2024</t>
        </is>
      </c>
      <c r="B101" s="1" t="n">
        <v>45581</v>
      </c>
      <c r="C101" s="1" t="n">
        <v>46195</v>
      </c>
      <c r="D101" t="inlineStr">
        <is>
          <t>JÖNKÖPINGS LÄN</t>
        </is>
      </c>
      <c r="E101" t="inlineStr">
        <is>
          <t>TRANÅS</t>
        </is>
      </c>
      <c r="G101" t="n">
        <v>1.1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18173-2023</t>
        </is>
      </c>
      <c r="B102" s="1" t="n">
        <v>45040</v>
      </c>
      <c r="C102" s="1" t="n">
        <v>46195</v>
      </c>
      <c r="D102" t="inlineStr">
        <is>
          <t>JÖNKÖPINGS LÄN</t>
        </is>
      </c>
      <c r="E102" t="inlineStr">
        <is>
          <t>TRANÅS</t>
        </is>
      </c>
      <c r="G102" t="n">
        <v>1.4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14920-2024</t>
        </is>
      </c>
      <c r="B103" s="1" t="n">
        <v>45398</v>
      </c>
      <c r="C103" s="1" t="n">
        <v>46195</v>
      </c>
      <c r="D103" t="inlineStr">
        <is>
          <t>JÖNKÖPINGS LÄN</t>
        </is>
      </c>
      <c r="E103" t="inlineStr">
        <is>
          <t>TRANÅS</t>
        </is>
      </c>
      <c r="G103" t="n">
        <v>0.8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21319-2023</t>
        </is>
      </c>
      <c r="B104" s="1" t="n">
        <v>45062</v>
      </c>
      <c r="C104" s="1" t="n">
        <v>46195</v>
      </c>
      <c r="D104" t="inlineStr">
        <is>
          <t>JÖNKÖPINGS LÄN</t>
        </is>
      </c>
      <c r="E104" t="inlineStr">
        <is>
          <t>TRANÅS</t>
        </is>
      </c>
      <c r="G104" t="n">
        <v>0.5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37081-2021</t>
        </is>
      </c>
      <c r="B105" s="1" t="n">
        <v>44395</v>
      </c>
      <c r="C105" s="1" t="n">
        <v>46195</v>
      </c>
      <c r="D105" t="inlineStr">
        <is>
          <t>JÖNKÖPINGS LÄN</t>
        </is>
      </c>
      <c r="E105" t="inlineStr">
        <is>
          <t>TRANÅS</t>
        </is>
      </c>
      <c r="G105" t="n">
        <v>1.6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37146-2021</t>
        </is>
      </c>
      <c r="B106" s="1" t="n">
        <v>44396</v>
      </c>
      <c r="C106" s="1" t="n">
        <v>46195</v>
      </c>
      <c r="D106" t="inlineStr">
        <is>
          <t>JÖNKÖPINGS LÄN</t>
        </is>
      </c>
      <c r="E106" t="inlineStr">
        <is>
          <t>TRANÅS</t>
        </is>
      </c>
      <c r="G106" t="n">
        <v>2.1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22671-2025</t>
        </is>
      </c>
      <c r="B107" s="1" t="n">
        <v>45789</v>
      </c>
      <c r="C107" s="1" t="n">
        <v>46195</v>
      </c>
      <c r="D107" t="inlineStr">
        <is>
          <t>JÖNKÖPINGS LÄN</t>
        </is>
      </c>
      <c r="E107" t="inlineStr">
        <is>
          <t>TRANÅS</t>
        </is>
      </c>
      <c r="G107" t="n">
        <v>2.5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20134-2024</t>
        </is>
      </c>
      <c r="B108" s="1" t="n">
        <v>45434</v>
      </c>
      <c r="C108" s="1" t="n">
        <v>46195</v>
      </c>
      <c r="D108" t="inlineStr">
        <is>
          <t>JÖNKÖPINGS LÄN</t>
        </is>
      </c>
      <c r="E108" t="inlineStr">
        <is>
          <t>TRANÅS</t>
        </is>
      </c>
      <c r="G108" t="n">
        <v>3.1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57130-2022</t>
        </is>
      </c>
      <c r="B109" s="1" t="n">
        <v>44895</v>
      </c>
      <c r="C109" s="1" t="n">
        <v>46195</v>
      </c>
      <c r="D109" t="inlineStr">
        <is>
          <t>JÖNKÖPINGS LÄN</t>
        </is>
      </c>
      <c r="E109" t="inlineStr">
        <is>
          <t>TRANÅS</t>
        </is>
      </c>
      <c r="G109" t="n">
        <v>2.3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18496-2024</t>
        </is>
      </c>
      <c r="B110" s="1" t="n">
        <v>45425</v>
      </c>
      <c r="C110" s="1" t="n">
        <v>46195</v>
      </c>
      <c r="D110" t="inlineStr">
        <is>
          <t>JÖNKÖPINGS LÄN</t>
        </is>
      </c>
      <c r="E110" t="inlineStr">
        <is>
          <t>TRANÅS</t>
        </is>
      </c>
      <c r="G110" t="n">
        <v>1.4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21876-2023</t>
        </is>
      </c>
      <c r="B111" s="1" t="n">
        <v>45068</v>
      </c>
      <c r="C111" s="1" t="n">
        <v>46195</v>
      </c>
      <c r="D111" t="inlineStr">
        <is>
          <t>JÖNKÖPINGS LÄN</t>
        </is>
      </c>
      <c r="E111" t="inlineStr">
        <is>
          <t>TRANÅS</t>
        </is>
      </c>
      <c r="G111" t="n">
        <v>2.3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18073-2024</t>
        </is>
      </c>
      <c r="B112" s="1" t="n">
        <v>45420</v>
      </c>
      <c r="C112" s="1" t="n">
        <v>46195</v>
      </c>
      <c r="D112" t="inlineStr">
        <is>
          <t>JÖNKÖPINGS LÄN</t>
        </is>
      </c>
      <c r="E112" t="inlineStr">
        <is>
          <t>TRANÅS</t>
        </is>
      </c>
      <c r="G112" t="n">
        <v>2.6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3421-2024</t>
        </is>
      </c>
      <c r="B113" s="1" t="n">
        <v>45319</v>
      </c>
      <c r="C113" s="1" t="n">
        <v>46195</v>
      </c>
      <c r="D113" t="inlineStr">
        <is>
          <t>JÖNKÖPINGS LÄN</t>
        </is>
      </c>
      <c r="E113" t="inlineStr">
        <is>
          <t>TRANÅS</t>
        </is>
      </c>
      <c r="G113" t="n">
        <v>2.8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11630-2023</t>
        </is>
      </c>
      <c r="B114" s="1" t="n">
        <v>44992</v>
      </c>
      <c r="C114" s="1" t="n">
        <v>46195</v>
      </c>
      <c r="D114" t="inlineStr">
        <is>
          <t>JÖNKÖPINGS LÄN</t>
        </is>
      </c>
      <c r="E114" t="inlineStr">
        <is>
          <t>TRANÅS</t>
        </is>
      </c>
      <c r="G114" t="n">
        <v>0.8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39047-2025</t>
        </is>
      </c>
      <c r="B115" s="1" t="n">
        <v>45888</v>
      </c>
      <c r="C115" s="1" t="n">
        <v>46195</v>
      </c>
      <c r="D115" t="inlineStr">
        <is>
          <t>JÖNKÖPINGS LÄN</t>
        </is>
      </c>
      <c r="E115" t="inlineStr">
        <is>
          <t>TRANÅS</t>
        </is>
      </c>
      <c r="G115" t="n">
        <v>1.2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13624-2023</t>
        </is>
      </c>
      <c r="B116" s="1" t="n">
        <v>45006</v>
      </c>
      <c r="C116" s="1" t="n">
        <v>46195</v>
      </c>
      <c r="D116" t="inlineStr">
        <is>
          <t>JÖNKÖPINGS LÄN</t>
        </is>
      </c>
      <c r="E116" t="inlineStr">
        <is>
          <t>TRANÅS</t>
        </is>
      </c>
      <c r="G116" t="n">
        <v>1.7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30152-2023</t>
        </is>
      </c>
      <c r="B117" s="1" t="n">
        <v>45110</v>
      </c>
      <c r="C117" s="1" t="n">
        <v>46195</v>
      </c>
      <c r="D117" t="inlineStr">
        <is>
          <t>JÖNKÖPINGS LÄN</t>
        </is>
      </c>
      <c r="E117" t="inlineStr">
        <is>
          <t>TRANÅS</t>
        </is>
      </c>
      <c r="G117" t="n">
        <v>1.9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40442-2022</t>
        </is>
      </c>
      <c r="B118" s="1" t="n">
        <v>44823</v>
      </c>
      <c r="C118" s="1" t="n">
        <v>46195</v>
      </c>
      <c r="D118" t="inlineStr">
        <is>
          <t>JÖNKÖPINGS LÄN</t>
        </is>
      </c>
      <c r="E118" t="inlineStr">
        <is>
          <t>TRANÅS</t>
        </is>
      </c>
      <c r="G118" t="n">
        <v>0.7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17567-2025</t>
        </is>
      </c>
      <c r="B119" s="1" t="n">
        <v>45757</v>
      </c>
      <c r="C119" s="1" t="n">
        <v>46195</v>
      </c>
      <c r="D119" t="inlineStr">
        <is>
          <t>JÖNKÖPINGS LÄN</t>
        </is>
      </c>
      <c r="E119" t="inlineStr">
        <is>
          <t>TRANÅS</t>
        </is>
      </c>
      <c r="G119" t="n">
        <v>3.2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17571-2025</t>
        </is>
      </c>
      <c r="B120" s="1" t="n">
        <v>45757</v>
      </c>
      <c r="C120" s="1" t="n">
        <v>46195</v>
      </c>
      <c r="D120" t="inlineStr">
        <is>
          <t>JÖNKÖPINGS LÄN</t>
        </is>
      </c>
      <c r="E120" t="inlineStr">
        <is>
          <t>TRANÅS</t>
        </is>
      </c>
      <c r="G120" t="n">
        <v>3.2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39043-2025</t>
        </is>
      </c>
      <c r="B121" s="1" t="n">
        <v>45888</v>
      </c>
      <c r="C121" s="1" t="n">
        <v>46195</v>
      </c>
      <c r="D121" t="inlineStr">
        <is>
          <t>JÖNKÖPINGS LÄN</t>
        </is>
      </c>
      <c r="E121" t="inlineStr">
        <is>
          <t>TRANÅS</t>
        </is>
      </c>
      <c r="G121" t="n">
        <v>4.6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40098-2021</t>
        </is>
      </c>
      <c r="B122" s="1" t="n">
        <v>44418</v>
      </c>
      <c r="C122" s="1" t="n">
        <v>46195</v>
      </c>
      <c r="D122" t="inlineStr">
        <is>
          <t>JÖNKÖPINGS LÄN</t>
        </is>
      </c>
      <c r="E122" t="inlineStr">
        <is>
          <t>TRANÅS</t>
        </is>
      </c>
      <c r="G122" t="n">
        <v>2.7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54750-2022</t>
        </is>
      </c>
      <c r="B123" s="1" t="n">
        <v>44881</v>
      </c>
      <c r="C123" s="1" t="n">
        <v>46195</v>
      </c>
      <c r="D123" t="inlineStr">
        <is>
          <t>JÖNKÖPINGS LÄN</t>
        </is>
      </c>
      <c r="E123" t="inlineStr">
        <is>
          <t>TRANÅS</t>
        </is>
      </c>
      <c r="G123" t="n">
        <v>3.4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60359-2023</t>
        </is>
      </c>
      <c r="B124" s="1" t="n">
        <v>45259</v>
      </c>
      <c r="C124" s="1" t="n">
        <v>46195</v>
      </c>
      <c r="D124" t="inlineStr">
        <is>
          <t>JÖNKÖPINGS LÄN</t>
        </is>
      </c>
      <c r="E124" t="inlineStr">
        <is>
          <t>TRANÅS</t>
        </is>
      </c>
      <c r="G124" t="n">
        <v>1.9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4702-2023</t>
        </is>
      </c>
      <c r="B125" s="1" t="n">
        <v>44953</v>
      </c>
      <c r="C125" s="1" t="n">
        <v>46195</v>
      </c>
      <c r="D125" t="inlineStr">
        <is>
          <t>JÖNKÖPINGS LÄN</t>
        </is>
      </c>
      <c r="E125" t="inlineStr">
        <is>
          <t>TRANÅS</t>
        </is>
      </c>
      <c r="G125" t="n">
        <v>5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36105-2024</t>
        </is>
      </c>
      <c r="B126" s="1" t="n">
        <v>45533</v>
      </c>
      <c r="C126" s="1" t="n">
        <v>46195</v>
      </c>
      <c r="D126" t="inlineStr">
        <is>
          <t>JÖNKÖPINGS LÄN</t>
        </is>
      </c>
      <c r="E126" t="inlineStr">
        <is>
          <t>TRANÅS</t>
        </is>
      </c>
      <c r="G126" t="n">
        <v>1.5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6919-2023</t>
        </is>
      </c>
      <c r="B127" s="1" t="n">
        <v>44967</v>
      </c>
      <c r="C127" s="1" t="n">
        <v>46195</v>
      </c>
      <c r="D127" t="inlineStr">
        <is>
          <t>JÖNKÖPINGS LÄN</t>
        </is>
      </c>
      <c r="E127" t="inlineStr">
        <is>
          <t>TRANÅS</t>
        </is>
      </c>
      <c r="G127" t="n">
        <v>0.7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2375-2023</t>
        </is>
      </c>
      <c r="B128" s="1" t="n">
        <v>44942</v>
      </c>
      <c r="C128" s="1" t="n">
        <v>46195</v>
      </c>
      <c r="D128" t="inlineStr">
        <is>
          <t>JÖNKÖPINGS LÄN</t>
        </is>
      </c>
      <c r="E128" t="inlineStr">
        <is>
          <t>TRANÅS</t>
        </is>
      </c>
      <c r="F128" t="inlineStr">
        <is>
          <t>Kommuner</t>
        </is>
      </c>
      <c r="G128" t="n">
        <v>2.5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39593-2025</t>
        </is>
      </c>
      <c r="B129" s="1" t="n">
        <v>45890</v>
      </c>
      <c r="C129" s="1" t="n">
        <v>46195</v>
      </c>
      <c r="D129" t="inlineStr">
        <is>
          <t>JÖNKÖPINGS LÄN</t>
        </is>
      </c>
      <c r="E129" t="inlineStr">
        <is>
          <t>TRANÅS</t>
        </is>
      </c>
      <c r="G129" t="n">
        <v>3.1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61017-2024</t>
        </is>
      </c>
      <c r="B130" s="1" t="n">
        <v>45644</v>
      </c>
      <c r="C130" s="1" t="n">
        <v>46195</v>
      </c>
      <c r="D130" t="inlineStr">
        <is>
          <t>JÖNKÖPINGS LÄN</t>
        </is>
      </c>
      <c r="E130" t="inlineStr">
        <is>
          <t>TRANÅS</t>
        </is>
      </c>
      <c r="G130" t="n">
        <v>12.1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49958-2022</t>
        </is>
      </c>
      <c r="B131" s="1" t="n">
        <v>44865</v>
      </c>
      <c r="C131" s="1" t="n">
        <v>46195</v>
      </c>
      <c r="D131" t="inlineStr">
        <is>
          <t>JÖNKÖPINGS LÄN</t>
        </is>
      </c>
      <c r="E131" t="inlineStr">
        <is>
          <t>TRANÅS</t>
        </is>
      </c>
      <c r="G131" t="n">
        <v>0.6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70037-2021</t>
        </is>
      </c>
      <c r="B132" s="1" t="n">
        <v>44533</v>
      </c>
      <c r="C132" s="1" t="n">
        <v>46195</v>
      </c>
      <c r="D132" t="inlineStr">
        <is>
          <t>JÖNKÖPINGS LÄN</t>
        </is>
      </c>
      <c r="E132" t="inlineStr">
        <is>
          <t>TRANÅS</t>
        </is>
      </c>
      <c r="G132" t="n">
        <v>1.6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8351-2023</t>
        </is>
      </c>
      <c r="B133" s="1" t="n">
        <v>44977</v>
      </c>
      <c r="C133" s="1" t="n">
        <v>46195</v>
      </c>
      <c r="D133" t="inlineStr">
        <is>
          <t>JÖNKÖPINGS LÄN</t>
        </is>
      </c>
      <c r="E133" t="inlineStr">
        <is>
          <t>TRANÅS</t>
        </is>
      </c>
      <c r="G133" t="n">
        <v>5.6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7950-2023</t>
        </is>
      </c>
      <c r="B134" s="1" t="n">
        <v>44973</v>
      </c>
      <c r="C134" s="1" t="n">
        <v>46195</v>
      </c>
      <c r="D134" t="inlineStr">
        <is>
          <t>JÖNKÖPINGS LÄN</t>
        </is>
      </c>
      <c r="E134" t="inlineStr">
        <is>
          <t>TRANÅS</t>
        </is>
      </c>
      <c r="F134" t="inlineStr">
        <is>
          <t>Kommuner</t>
        </is>
      </c>
      <c r="G134" t="n">
        <v>0.6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33508-2021</t>
        </is>
      </c>
      <c r="B135" s="1" t="n">
        <v>44377</v>
      </c>
      <c r="C135" s="1" t="n">
        <v>46195</v>
      </c>
      <c r="D135" t="inlineStr">
        <is>
          <t>JÖNKÖPINGS LÄN</t>
        </is>
      </c>
      <c r="E135" t="inlineStr">
        <is>
          <t>TRANÅS</t>
        </is>
      </c>
      <c r="F135" t="inlineStr">
        <is>
          <t>Kyrkan</t>
        </is>
      </c>
      <c r="G135" t="n">
        <v>1.8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9229-2025</t>
        </is>
      </c>
      <c r="B136" s="1" t="n">
        <v>45713</v>
      </c>
      <c r="C136" s="1" t="n">
        <v>46195</v>
      </c>
      <c r="D136" t="inlineStr">
        <is>
          <t>JÖNKÖPINGS LÄN</t>
        </is>
      </c>
      <c r="E136" t="inlineStr">
        <is>
          <t>TRANÅS</t>
        </is>
      </c>
      <c r="G136" t="n">
        <v>2.1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5213-2024</t>
        </is>
      </c>
      <c r="B137" s="1" t="n">
        <v>45330</v>
      </c>
      <c r="C137" s="1" t="n">
        <v>46195</v>
      </c>
      <c r="D137" t="inlineStr">
        <is>
          <t>JÖNKÖPINGS LÄN</t>
        </is>
      </c>
      <c r="E137" t="inlineStr">
        <is>
          <t>TRANÅS</t>
        </is>
      </c>
      <c r="F137" t="inlineStr">
        <is>
          <t>Allmännings- och besparingsskogar</t>
        </is>
      </c>
      <c r="G137" t="n">
        <v>3.5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49256-2024</t>
        </is>
      </c>
      <c r="B138" s="1" t="n">
        <v>45595</v>
      </c>
      <c r="C138" s="1" t="n">
        <v>46195</v>
      </c>
      <c r="D138" t="inlineStr">
        <is>
          <t>JÖNKÖPINGS LÄN</t>
        </is>
      </c>
      <c r="E138" t="inlineStr">
        <is>
          <t>TRANÅS</t>
        </is>
      </c>
      <c r="G138" t="n">
        <v>2.5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8999-2025</t>
        </is>
      </c>
      <c r="B139" s="1" t="n">
        <v>45712</v>
      </c>
      <c r="C139" s="1" t="n">
        <v>46195</v>
      </c>
      <c r="D139" t="inlineStr">
        <is>
          <t>JÖNKÖPINGS LÄN</t>
        </is>
      </c>
      <c r="E139" t="inlineStr">
        <is>
          <t>TRANÅS</t>
        </is>
      </c>
      <c r="G139" t="n">
        <v>3.2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41501-2025</t>
        </is>
      </c>
      <c r="B140" s="1" t="n">
        <v>45901</v>
      </c>
      <c r="C140" s="1" t="n">
        <v>46195</v>
      </c>
      <c r="D140" t="inlineStr">
        <is>
          <t>JÖNKÖPINGS LÄN</t>
        </is>
      </c>
      <c r="E140" t="inlineStr">
        <is>
          <t>TRANÅS</t>
        </is>
      </c>
      <c r="G140" t="n">
        <v>1.9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2379-2023</t>
        </is>
      </c>
      <c r="B141" s="1" t="n">
        <v>44942</v>
      </c>
      <c r="C141" s="1" t="n">
        <v>46195</v>
      </c>
      <c r="D141" t="inlineStr">
        <is>
          <t>JÖNKÖPINGS LÄN</t>
        </is>
      </c>
      <c r="E141" t="inlineStr">
        <is>
          <t>TRANÅS</t>
        </is>
      </c>
      <c r="F141" t="inlineStr">
        <is>
          <t>Kommuner</t>
        </is>
      </c>
      <c r="G141" t="n">
        <v>5.7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42885-2025</t>
        </is>
      </c>
      <c r="B142" s="1" t="n">
        <v>45908</v>
      </c>
      <c r="C142" s="1" t="n">
        <v>46195</v>
      </c>
      <c r="D142" t="inlineStr">
        <is>
          <t>JÖNKÖPINGS LÄN</t>
        </is>
      </c>
      <c r="E142" t="inlineStr">
        <is>
          <t>TRANÅS</t>
        </is>
      </c>
      <c r="G142" t="n">
        <v>1.3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17578-2025</t>
        </is>
      </c>
      <c r="B143" s="1" t="n">
        <v>45757</v>
      </c>
      <c r="C143" s="1" t="n">
        <v>46195</v>
      </c>
      <c r="D143" t="inlineStr">
        <is>
          <t>JÖNKÖPINGS LÄN</t>
        </is>
      </c>
      <c r="E143" t="inlineStr">
        <is>
          <t>TRANÅS</t>
        </is>
      </c>
      <c r="G143" t="n">
        <v>5.2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57983-2024</t>
        </is>
      </c>
      <c r="B144" s="1" t="n">
        <v>45631</v>
      </c>
      <c r="C144" s="1" t="n">
        <v>46195</v>
      </c>
      <c r="D144" t="inlineStr">
        <is>
          <t>JÖNKÖPINGS LÄN</t>
        </is>
      </c>
      <c r="E144" t="inlineStr">
        <is>
          <t>TRANÅS</t>
        </is>
      </c>
      <c r="G144" t="n">
        <v>0.5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45787-2023</t>
        </is>
      </c>
      <c r="B145" s="1" t="n">
        <v>45195</v>
      </c>
      <c r="C145" s="1" t="n">
        <v>46195</v>
      </c>
      <c r="D145" t="inlineStr">
        <is>
          <t>JÖNKÖPINGS LÄN</t>
        </is>
      </c>
      <c r="E145" t="inlineStr">
        <is>
          <t>TRANÅS</t>
        </is>
      </c>
      <c r="G145" t="n">
        <v>9.300000000000001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47902-2022</t>
        </is>
      </c>
      <c r="B146" s="1" t="n">
        <v>44855</v>
      </c>
      <c r="C146" s="1" t="n">
        <v>46195</v>
      </c>
      <c r="D146" t="inlineStr">
        <is>
          <t>JÖNKÖPINGS LÄN</t>
        </is>
      </c>
      <c r="E146" t="inlineStr">
        <is>
          <t>TRANÅS</t>
        </is>
      </c>
      <c r="G146" t="n">
        <v>0.7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59171-2024</t>
        </is>
      </c>
      <c r="B147" s="1" t="n">
        <v>45637</v>
      </c>
      <c r="C147" s="1" t="n">
        <v>46195</v>
      </c>
      <c r="D147" t="inlineStr">
        <is>
          <t>JÖNKÖPINGS LÄN</t>
        </is>
      </c>
      <c r="E147" t="inlineStr">
        <is>
          <t>TRANÅS</t>
        </is>
      </c>
      <c r="G147" t="n">
        <v>2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44235-2025</t>
        </is>
      </c>
      <c r="B148" s="1" t="n">
        <v>45915</v>
      </c>
      <c r="C148" s="1" t="n">
        <v>46195</v>
      </c>
      <c r="D148" t="inlineStr">
        <is>
          <t>JÖNKÖPINGS LÄN</t>
        </is>
      </c>
      <c r="E148" t="inlineStr">
        <is>
          <t>TRANÅS</t>
        </is>
      </c>
      <c r="G148" t="n">
        <v>2.3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  <c r="T148">
        <f>HYPERLINK("https://klasma.github.io/Logging_0687/kartor/A 44235-2025 karta.png", "A 44235-2025")</f>
        <v/>
      </c>
      <c r="V148">
        <f>HYPERLINK("https://klasma.github.io/Logging_0687/klagomål/A 44235-2025 FSC-klagomål.docx", "A 44235-2025")</f>
        <v/>
      </c>
      <c r="W148">
        <f>HYPERLINK("https://klasma.github.io/Logging_0687/klagomålsmail/A 44235-2025 FSC-klagomål mail.docx", "A 44235-2025")</f>
        <v/>
      </c>
      <c r="X148">
        <f>HYPERLINK("https://klasma.github.io/Logging_0687/tillsyn/A 44235-2025 tillsynsbegäran.docx", "A 44235-2025")</f>
        <v/>
      </c>
      <c r="Y148">
        <f>HYPERLINK("https://klasma.github.io/Logging_0687/tillsynsmail/A 44235-2025 tillsynsbegäran mail.docx", "A 44235-2025")</f>
        <v/>
      </c>
    </row>
    <row r="149" ht="15" customHeight="1">
      <c r="A149" t="inlineStr">
        <is>
          <t>A 44698-2025</t>
        </is>
      </c>
      <c r="B149" s="1" t="n">
        <v>45917</v>
      </c>
      <c r="C149" s="1" t="n">
        <v>46195</v>
      </c>
      <c r="D149" t="inlineStr">
        <is>
          <t>JÖNKÖPINGS LÄN</t>
        </is>
      </c>
      <c r="E149" t="inlineStr">
        <is>
          <t>TRANÅS</t>
        </is>
      </c>
      <c r="G149" t="n">
        <v>0.8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20810-2025</t>
        </is>
      </c>
      <c r="B150" s="1" t="n">
        <v>45776</v>
      </c>
      <c r="C150" s="1" t="n">
        <v>46195</v>
      </c>
      <c r="D150" t="inlineStr">
        <is>
          <t>JÖNKÖPINGS LÄN</t>
        </is>
      </c>
      <c r="E150" t="inlineStr">
        <is>
          <t>TRANÅS</t>
        </is>
      </c>
      <c r="F150" t="inlineStr">
        <is>
          <t>Allmännings- och besparingsskogar</t>
        </is>
      </c>
      <c r="G150" t="n">
        <v>13.8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20625-2025</t>
        </is>
      </c>
      <c r="B151" s="1" t="n">
        <v>45776</v>
      </c>
      <c r="C151" s="1" t="n">
        <v>46195</v>
      </c>
      <c r="D151" t="inlineStr">
        <is>
          <t>JÖNKÖPINGS LÄN</t>
        </is>
      </c>
      <c r="E151" t="inlineStr">
        <is>
          <t>TRANÅS</t>
        </is>
      </c>
      <c r="G151" t="n">
        <v>3.3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45196-2025</t>
        </is>
      </c>
      <c r="B152" s="1" t="n">
        <v>45919</v>
      </c>
      <c r="C152" s="1" t="n">
        <v>46195</v>
      </c>
      <c r="D152" t="inlineStr">
        <is>
          <t>JÖNKÖPINGS LÄN</t>
        </is>
      </c>
      <c r="E152" t="inlineStr">
        <is>
          <t>TRANÅS</t>
        </is>
      </c>
      <c r="G152" t="n">
        <v>2.4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32871-2021</t>
        </is>
      </c>
      <c r="B153" s="1" t="n">
        <v>44375</v>
      </c>
      <c r="C153" s="1" t="n">
        <v>46195</v>
      </c>
      <c r="D153" t="inlineStr">
        <is>
          <t>JÖNKÖPINGS LÄN</t>
        </is>
      </c>
      <c r="E153" t="inlineStr">
        <is>
          <t>TRANÅS</t>
        </is>
      </c>
      <c r="G153" t="n">
        <v>0.4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46075-2025</t>
        </is>
      </c>
      <c r="B154" s="1" t="n">
        <v>45924</v>
      </c>
      <c r="C154" s="1" t="n">
        <v>46195</v>
      </c>
      <c r="D154" t="inlineStr">
        <is>
          <t>JÖNKÖPINGS LÄN</t>
        </is>
      </c>
      <c r="E154" t="inlineStr">
        <is>
          <t>TRANÅS</t>
        </is>
      </c>
      <c r="G154" t="n">
        <v>0.6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21459-2025</t>
        </is>
      </c>
      <c r="B155" s="1" t="n">
        <v>45782</v>
      </c>
      <c r="C155" s="1" t="n">
        <v>46195</v>
      </c>
      <c r="D155" t="inlineStr">
        <is>
          <t>JÖNKÖPINGS LÄN</t>
        </is>
      </c>
      <c r="E155" t="inlineStr">
        <is>
          <t>TRANÅS</t>
        </is>
      </c>
      <c r="G155" t="n">
        <v>1.8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7583-2023</t>
        </is>
      </c>
      <c r="B156" s="1" t="n">
        <v>44972</v>
      </c>
      <c r="C156" s="1" t="n">
        <v>46195</v>
      </c>
      <c r="D156" t="inlineStr">
        <is>
          <t>JÖNKÖPINGS LÄN</t>
        </is>
      </c>
      <c r="E156" t="inlineStr">
        <is>
          <t>TRANÅS</t>
        </is>
      </c>
      <c r="G156" t="n">
        <v>1.5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46337-2025</t>
        </is>
      </c>
      <c r="B157" s="1" t="n">
        <v>45925</v>
      </c>
      <c r="C157" s="1" t="n">
        <v>46195</v>
      </c>
      <c r="D157" t="inlineStr">
        <is>
          <t>JÖNKÖPINGS LÄN</t>
        </is>
      </c>
      <c r="E157" t="inlineStr">
        <is>
          <t>TRANÅS</t>
        </is>
      </c>
      <c r="F157" t="inlineStr">
        <is>
          <t>Allmännings- och besparingsskogar</t>
        </is>
      </c>
      <c r="G157" t="n">
        <v>0.7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46333-2025</t>
        </is>
      </c>
      <c r="B158" s="1" t="n">
        <v>45925</v>
      </c>
      <c r="C158" s="1" t="n">
        <v>46195</v>
      </c>
      <c r="D158" t="inlineStr">
        <is>
          <t>JÖNKÖPINGS LÄN</t>
        </is>
      </c>
      <c r="E158" t="inlineStr">
        <is>
          <t>TRANÅS</t>
        </is>
      </c>
      <c r="F158" t="inlineStr">
        <is>
          <t>Allmännings- och besparingsskogar</t>
        </is>
      </c>
      <c r="G158" t="n">
        <v>1.4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46330-2025</t>
        </is>
      </c>
      <c r="B159" s="1" t="n">
        <v>45925</v>
      </c>
      <c r="C159" s="1" t="n">
        <v>46195</v>
      </c>
      <c r="D159" t="inlineStr">
        <is>
          <t>JÖNKÖPINGS LÄN</t>
        </is>
      </c>
      <c r="E159" t="inlineStr">
        <is>
          <t>TRANÅS</t>
        </is>
      </c>
      <c r="F159" t="inlineStr">
        <is>
          <t>Allmännings- och besparingsskogar</t>
        </is>
      </c>
      <c r="G159" t="n">
        <v>2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47477-2025</t>
        </is>
      </c>
      <c r="B160" s="1" t="n">
        <v>45930</v>
      </c>
      <c r="C160" s="1" t="n">
        <v>46195</v>
      </c>
      <c r="D160" t="inlineStr">
        <is>
          <t>JÖNKÖPINGS LÄN</t>
        </is>
      </c>
      <c r="E160" t="inlineStr">
        <is>
          <t>TRANÅS</t>
        </is>
      </c>
      <c r="G160" t="n">
        <v>4.7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16153-2023</t>
        </is>
      </c>
      <c r="B161" s="1" t="n">
        <v>45027</v>
      </c>
      <c r="C161" s="1" t="n">
        <v>46195</v>
      </c>
      <c r="D161" t="inlineStr">
        <is>
          <t>JÖNKÖPINGS LÄN</t>
        </is>
      </c>
      <c r="E161" t="inlineStr">
        <is>
          <t>TRANÅS</t>
        </is>
      </c>
      <c r="F161" t="inlineStr">
        <is>
          <t>Allmännings- och besparingsskogar</t>
        </is>
      </c>
      <c r="G161" t="n">
        <v>14.5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30647-2024</t>
        </is>
      </c>
      <c r="B162" s="1" t="n">
        <v>45495</v>
      </c>
      <c r="C162" s="1" t="n">
        <v>46195</v>
      </c>
      <c r="D162" t="inlineStr">
        <is>
          <t>JÖNKÖPINGS LÄN</t>
        </is>
      </c>
      <c r="E162" t="inlineStr">
        <is>
          <t>TRANÅS</t>
        </is>
      </c>
      <c r="G162" t="n">
        <v>1.6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22430-2025</t>
        </is>
      </c>
      <c r="B163" s="1" t="n">
        <v>45786</v>
      </c>
      <c r="C163" s="1" t="n">
        <v>46195</v>
      </c>
      <c r="D163" t="inlineStr">
        <is>
          <t>JÖNKÖPINGS LÄN</t>
        </is>
      </c>
      <c r="E163" t="inlineStr">
        <is>
          <t>TRANÅS</t>
        </is>
      </c>
      <c r="G163" t="n">
        <v>1.5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47753-2025</t>
        </is>
      </c>
      <c r="B164" s="1" t="n">
        <v>45931</v>
      </c>
      <c r="C164" s="1" t="n">
        <v>46195</v>
      </c>
      <c r="D164" t="inlineStr">
        <is>
          <t>JÖNKÖPINGS LÄN</t>
        </is>
      </c>
      <c r="E164" t="inlineStr">
        <is>
          <t>TRANÅS</t>
        </is>
      </c>
      <c r="F164" t="inlineStr">
        <is>
          <t>Allmännings- och besparingsskogar</t>
        </is>
      </c>
      <c r="G164" t="n">
        <v>1.6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48112-2025</t>
        </is>
      </c>
      <c r="B165" s="1" t="n">
        <v>45932</v>
      </c>
      <c r="C165" s="1" t="n">
        <v>46195</v>
      </c>
      <c r="D165" t="inlineStr">
        <is>
          <t>JÖNKÖPINGS LÄN</t>
        </is>
      </c>
      <c r="E165" t="inlineStr">
        <is>
          <t>TRANÅS</t>
        </is>
      </c>
      <c r="G165" t="n">
        <v>1.3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48507-2021</t>
        </is>
      </c>
      <c r="B166" s="1" t="n">
        <v>44452</v>
      </c>
      <c r="C166" s="1" t="n">
        <v>46195</v>
      </c>
      <c r="D166" t="inlineStr">
        <is>
          <t>JÖNKÖPINGS LÄN</t>
        </is>
      </c>
      <c r="E166" t="inlineStr">
        <is>
          <t>TRANÅS</t>
        </is>
      </c>
      <c r="F166" t="inlineStr">
        <is>
          <t>Allmännings- och besparingsskogar</t>
        </is>
      </c>
      <c r="G166" t="n">
        <v>4.5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19332-2025</t>
        </is>
      </c>
      <c r="B167" s="1" t="n">
        <v>45769</v>
      </c>
      <c r="C167" s="1" t="n">
        <v>46195</v>
      </c>
      <c r="D167" t="inlineStr">
        <is>
          <t>JÖNKÖPINGS LÄN</t>
        </is>
      </c>
      <c r="E167" t="inlineStr">
        <is>
          <t>TRANÅS</t>
        </is>
      </c>
      <c r="G167" t="n">
        <v>1.3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24708-2023</t>
        </is>
      </c>
      <c r="B168" s="1" t="n">
        <v>45084</v>
      </c>
      <c r="C168" s="1" t="n">
        <v>46195</v>
      </c>
      <c r="D168" t="inlineStr">
        <is>
          <t>JÖNKÖPINGS LÄN</t>
        </is>
      </c>
      <c r="E168" t="inlineStr">
        <is>
          <t>TRANÅS</t>
        </is>
      </c>
      <c r="G168" t="n">
        <v>1.2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22620-2025</t>
        </is>
      </c>
      <c r="B169" s="1" t="n">
        <v>45789</v>
      </c>
      <c r="C169" s="1" t="n">
        <v>46195</v>
      </c>
      <c r="D169" t="inlineStr">
        <is>
          <t>JÖNKÖPINGS LÄN</t>
        </is>
      </c>
      <c r="E169" t="inlineStr">
        <is>
          <t>TRANÅS</t>
        </is>
      </c>
      <c r="G169" t="n">
        <v>0.9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9750-2025</t>
        </is>
      </c>
      <c r="B170" s="1" t="n">
        <v>45716</v>
      </c>
      <c r="C170" s="1" t="n">
        <v>46195</v>
      </c>
      <c r="D170" t="inlineStr">
        <is>
          <t>JÖNKÖPINGS LÄN</t>
        </is>
      </c>
      <c r="E170" t="inlineStr">
        <is>
          <t>TRANÅS</t>
        </is>
      </c>
      <c r="G170" t="n">
        <v>5.2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20990-2024</t>
        </is>
      </c>
      <c r="B171" s="1" t="n">
        <v>45439</v>
      </c>
      <c r="C171" s="1" t="n">
        <v>46195</v>
      </c>
      <c r="D171" t="inlineStr">
        <is>
          <t>JÖNKÖPINGS LÄN</t>
        </is>
      </c>
      <c r="E171" t="inlineStr">
        <is>
          <t>TRANÅS</t>
        </is>
      </c>
      <c r="G171" t="n">
        <v>2.2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62578-2023</t>
        </is>
      </c>
      <c r="B172" s="1" t="n">
        <v>45270</v>
      </c>
      <c r="C172" s="1" t="n">
        <v>46195</v>
      </c>
      <c r="D172" t="inlineStr">
        <is>
          <t>JÖNKÖPINGS LÄN</t>
        </is>
      </c>
      <c r="E172" t="inlineStr">
        <is>
          <t>TRANÅS</t>
        </is>
      </c>
      <c r="G172" t="n">
        <v>1.1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33213-2023</t>
        </is>
      </c>
      <c r="B173" s="1" t="n">
        <v>45114</v>
      </c>
      <c r="C173" s="1" t="n">
        <v>46195</v>
      </c>
      <c r="D173" t="inlineStr">
        <is>
          <t>JÖNKÖPINGS LÄN</t>
        </is>
      </c>
      <c r="E173" t="inlineStr">
        <is>
          <t>TRANÅS</t>
        </is>
      </c>
      <c r="G173" t="n">
        <v>2.7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49118-2025</t>
        </is>
      </c>
      <c r="B174" s="1" t="n">
        <v>45937</v>
      </c>
      <c r="C174" s="1" t="n">
        <v>46195</v>
      </c>
      <c r="D174" t="inlineStr">
        <is>
          <t>JÖNKÖPINGS LÄN</t>
        </is>
      </c>
      <c r="E174" t="inlineStr">
        <is>
          <t>TRANÅS</t>
        </is>
      </c>
      <c r="G174" t="n">
        <v>3.5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18728-2024</t>
        </is>
      </c>
      <c r="B175" s="1" t="n">
        <v>45426</v>
      </c>
      <c r="C175" s="1" t="n">
        <v>46195</v>
      </c>
      <c r="D175" t="inlineStr">
        <is>
          <t>JÖNKÖPINGS LÄN</t>
        </is>
      </c>
      <c r="E175" t="inlineStr">
        <is>
          <t>TRANÅS</t>
        </is>
      </c>
      <c r="G175" t="n">
        <v>5.2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39648-2024</t>
        </is>
      </c>
      <c r="B176" s="1" t="n">
        <v>45552</v>
      </c>
      <c r="C176" s="1" t="n">
        <v>46195</v>
      </c>
      <c r="D176" t="inlineStr">
        <is>
          <t>JÖNKÖPINGS LÄN</t>
        </is>
      </c>
      <c r="E176" t="inlineStr">
        <is>
          <t>TRANÅS</t>
        </is>
      </c>
      <c r="G176" t="n">
        <v>1.3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49844-2025</t>
        </is>
      </c>
      <c r="B177" s="1" t="n">
        <v>45940</v>
      </c>
      <c r="C177" s="1" t="n">
        <v>46195</v>
      </c>
      <c r="D177" t="inlineStr">
        <is>
          <t>JÖNKÖPINGS LÄN</t>
        </is>
      </c>
      <c r="E177" t="inlineStr">
        <is>
          <t>TRANÅS</t>
        </is>
      </c>
      <c r="F177" t="inlineStr">
        <is>
          <t>Kyrkan</t>
        </is>
      </c>
      <c r="G177" t="n">
        <v>6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49610-2025</t>
        </is>
      </c>
      <c r="B178" s="1" t="n">
        <v>45939</v>
      </c>
      <c r="C178" s="1" t="n">
        <v>46195</v>
      </c>
      <c r="D178" t="inlineStr">
        <is>
          <t>JÖNKÖPINGS LÄN</t>
        </is>
      </c>
      <c r="E178" t="inlineStr">
        <is>
          <t>TRANÅS</t>
        </is>
      </c>
      <c r="G178" t="n">
        <v>0.7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17077-2025</t>
        </is>
      </c>
      <c r="B179" s="1" t="n">
        <v>45754</v>
      </c>
      <c r="C179" s="1" t="n">
        <v>46195</v>
      </c>
      <c r="D179" t="inlineStr">
        <is>
          <t>JÖNKÖPINGS LÄN</t>
        </is>
      </c>
      <c r="E179" t="inlineStr">
        <is>
          <t>TRANÅS</t>
        </is>
      </c>
      <c r="G179" t="n">
        <v>4.3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39652-2021</t>
        </is>
      </c>
      <c r="B180" s="1" t="n">
        <v>44417</v>
      </c>
      <c r="C180" s="1" t="n">
        <v>46195</v>
      </c>
      <c r="D180" t="inlineStr">
        <is>
          <t>JÖNKÖPINGS LÄN</t>
        </is>
      </c>
      <c r="E180" t="inlineStr">
        <is>
          <t>TRANÅS</t>
        </is>
      </c>
      <c r="F180" t="inlineStr">
        <is>
          <t>Allmännings- och besparingsskogar</t>
        </is>
      </c>
      <c r="G180" t="n">
        <v>1.4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50749-2025</t>
        </is>
      </c>
      <c r="B181" s="1" t="n">
        <v>45946</v>
      </c>
      <c r="C181" s="1" t="n">
        <v>46195</v>
      </c>
      <c r="D181" t="inlineStr">
        <is>
          <t>JÖNKÖPINGS LÄN</t>
        </is>
      </c>
      <c r="E181" t="inlineStr">
        <is>
          <t>TRANÅS</t>
        </is>
      </c>
      <c r="G181" t="n">
        <v>0.8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50621-2025</t>
        </is>
      </c>
      <c r="B182" s="1" t="n">
        <v>45945</v>
      </c>
      <c r="C182" s="1" t="n">
        <v>46195</v>
      </c>
      <c r="D182" t="inlineStr">
        <is>
          <t>JÖNKÖPINGS LÄN</t>
        </is>
      </c>
      <c r="E182" t="inlineStr">
        <is>
          <t>TRANÅS</t>
        </is>
      </c>
      <c r="G182" t="n">
        <v>1.7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50686-2025</t>
        </is>
      </c>
      <c r="B183" s="1" t="n">
        <v>45945</v>
      </c>
      <c r="C183" s="1" t="n">
        <v>46195</v>
      </c>
      <c r="D183" t="inlineStr">
        <is>
          <t>JÖNKÖPINGS LÄN</t>
        </is>
      </c>
      <c r="E183" t="inlineStr">
        <is>
          <t>TRANÅS</t>
        </is>
      </c>
      <c r="G183" t="n">
        <v>1.1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50596-2025</t>
        </is>
      </c>
      <c r="B184" s="1" t="n">
        <v>45945</v>
      </c>
      <c r="C184" s="1" t="n">
        <v>46195</v>
      </c>
      <c r="D184" t="inlineStr">
        <is>
          <t>JÖNKÖPINGS LÄN</t>
        </is>
      </c>
      <c r="E184" t="inlineStr">
        <is>
          <t>TRANÅS</t>
        </is>
      </c>
      <c r="G184" t="n">
        <v>1.9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37912-2024</t>
        </is>
      </c>
      <c r="B185" s="1" t="n">
        <v>45544</v>
      </c>
      <c r="C185" s="1" t="n">
        <v>46195</v>
      </c>
      <c r="D185" t="inlineStr">
        <is>
          <t>JÖNKÖPINGS LÄN</t>
        </is>
      </c>
      <c r="E185" t="inlineStr">
        <is>
          <t>TRANÅS</t>
        </is>
      </c>
      <c r="G185" t="n">
        <v>2.5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13581-2025</t>
        </is>
      </c>
      <c r="B186" s="1" t="n">
        <v>45736</v>
      </c>
      <c r="C186" s="1" t="n">
        <v>46195</v>
      </c>
      <c r="D186" t="inlineStr">
        <is>
          <t>JÖNKÖPINGS LÄN</t>
        </is>
      </c>
      <c r="E186" t="inlineStr">
        <is>
          <t>TRANÅS</t>
        </is>
      </c>
      <c r="G186" t="n">
        <v>5.5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61393-2023</t>
        </is>
      </c>
      <c r="B187" s="1" t="n">
        <v>45261</v>
      </c>
      <c r="C187" s="1" t="n">
        <v>46195</v>
      </c>
      <c r="D187" t="inlineStr">
        <is>
          <t>JÖNKÖPINGS LÄN</t>
        </is>
      </c>
      <c r="E187" t="inlineStr">
        <is>
          <t>TRANÅS</t>
        </is>
      </c>
      <c r="G187" t="n">
        <v>0.6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60184-2024</t>
        </is>
      </c>
      <c r="B188" s="1" t="n">
        <v>45639</v>
      </c>
      <c r="C188" s="1" t="n">
        <v>46195</v>
      </c>
      <c r="D188" t="inlineStr">
        <is>
          <t>JÖNKÖPINGS LÄN</t>
        </is>
      </c>
      <c r="E188" t="inlineStr">
        <is>
          <t>TRANÅS</t>
        </is>
      </c>
      <c r="G188" t="n">
        <v>6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40564-2024</t>
        </is>
      </c>
      <c r="B189" s="1" t="n">
        <v>45555</v>
      </c>
      <c r="C189" s="1" t="n">
        <v>46195</v>
      </c>
      <c r="D189" t="inlineStr">
        <is>
          <t>JÖNKÖPINGS LÄN</t>
        </is>
      </c>
      <c r="E189" t="inlineStr">
        <is>
          <t>TRANÅS</t>
        </is>
      </c>
      <c r="G189" t="n">
        <v>1.8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28139-2023</t>
        </is>
      </c>
      <c r="B190" s="1" t="n">
        <v>45099</v>
      </c>
      <c r="C190" s="1" t="n">
        <v>46195</v>
      </c>
      <c r="D190" t="inlineStr">
        <is>
          <t>JÖNKÖPINGS LÄN</t>
        </is>
      </c>
      <c r="E190" t="inlineStr">
        <is>
          <t>TRANÅS</t>
        </is>
      </c>
      <c r="G190" t="n">
        <v>0.5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61702-2022</t>
        </is>
      </c>
      <c r="B191" s="1" t="n">
        <v>44917</v>
      </c>
      <c r="C191" s="1" t="n">
        <v>46195</v>
      </c>
      <c r="D191" t="inlineStr">
        <is>
          <t>JÖNKÖPINGS LÄN</t>
        </is>
      </c>
      <c r="E191" t="inlineStr">
        <is>
          <t>TRANÅS</t>
        </is>
      </c>
      <c r="G191" t="n">
        <v>3.8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52174-2025</t>
        </is>
      </c>
      <c r="B192" s="1" t="n">
        <v>45953</v>
      </c>
      <c r="C192" s="1" t="n">
        <v>46195</v>
      </c>
      <c r="D192" t="inlineStr">
        <is>
          <t>JÖNKÖPINGS LÄN</t>
        </is>
      </c>
      <c r="E192" t="inlineStr">
        <is>
          <t>TRANÅS</t>
        </is>
      </c>
      <c r="G192" t="n">
        <v>4.2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52188-2025</t>
        </is>
      </c>
      <c r="B193" s="1" t="n">
        <v>45953</v>
      </c>
      <c r="C193" s="1" t="n">
        <v>46195</v>
      </c>
      <c r="D193" t="inlineStr">
        <is>
          <t>JÖNKÖPINGS LÄN</t>
        </is>
      </c>
      <c r="E193" t="inlineStr">
        <is>
          <t>TRANÅS</t>
        </is>
      </c>
      <c r="G193" t="n">
        <v>2.2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52497-2025</t>
        </is>
      </c>
      <c r="B194" s="1" t="n">
        <v>45954</v>
      </c>
      <c r="C194" s="1" t="n">
        <v>46195</v>
      </c>
      <c r="D194" t="inlineStr">
        <is>
          <t>JÖNKÖPINGS LÄN</t>
        </is>
      </c>
      <c r="E194" t="inlineStr">
        <is>
          <t>TRANÅS</t>
        </is>
      </c>
      <c r="G194" t="n">
        <v>1.8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20414-2025</t>
        </is>
      </c>
      <c r="B195" s="1" t="n">
        <v>45775</v>
      </c>
      <c r="C195" s="1" t="n">
        <v>46195</v>
      </c>
      <c r="D195" t="inlineStr">
        <is>
          <t>JÖNKÖPINGS LÄN</t>
        </is>
      </c>
      <c r="E195" t="inlineStr">
        <is>
          <t>TRANÅS</t>
        </is>
      </c>
      <c r="G195" t="n">
        <v>1.1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28997-2023</t>
        </is>
      </c>
      <c r="B196" s="1" t="n">
        <v>45104</v>
      </c>
      <c r="C196" s="1" t="n">
        <v>46195</v>
      </c>
      <c r="D196" t="inlineStr">
        <is>
          <t>JÖNKÖPINGS LÄN</t>
        </is>
      </c>
      <c r="E196" t="inlineStr">
        <is>
          <t>TRANÅS</t>
        </is>
      </c>
      <c r="G196" t="n">
        <v>3.7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52515-2025</t>
        </is>
      </c>
      <c r="B197" s="1" t="n">
        <v>45954</v>
      </c>
      <c r="C197" s="1" t="n">
        <v>46195</v>
      </c>
      <c r="D197" t="inlineStr">
        <is>
          <t>JÖNKÖPINGS LÄN</t>
        </is>
      </c>
      <c r="E197" t="inlineStr">
        <is>
          <t>TRANÅS</t>
        </is>
      </c>
      <c r="G197" t="n">
        <v>2.9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26512-2026</t>
        </is>
      </c>
      <c r="B198" s="1" t="n">
        <v>46182</v>
      </c>
      <c r="C198" s="1" t="n">
        <v>46195</v>
      </c>
      <c r="D198" t="inlineStr">
        <is>
          <t>JÖNKÖPINGS LÄN</t>
        </is>
      </c>
      <c r="E198" t="inlineStr">
        <is>
          <t>TRANÅS</t>
        </is>
      </c>
      <c r="G198" t="n">
        <v>1.9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52714-2024</t>
        </is>
      </c>
      <c r="B199" s="1" t="n">
        <v>45610</v>
      </c>
      <c r="C199" s="1" t="n">
        <v>46195</v>
      </c>
      <c r="D199" t="inlineStr">
        <is>
          <t>JÖNKÖPINGS LÄN</t>
        </is>
      </c>
      <c r="E199" t="inlineStr">
        <is>
          <t>TRANÅS</t>
        </is>
      </c>
      <c r="G199" t="n">
        <v>0.8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53447-2025</t>
        </is>
      </c>
      <c r="B200" s="1" t="n">
        <v>45959</v>
      </c>
      <c r="C200" s="1" t="n">
        <v>46195</v>
      </c>
      <c r="D200" t="inlineStr">
        <is>
          <t>JÖNKÖPINGS LÄN</t>
        </is>
      </c>
      <c r="E200" t="inlineStr">
        <is>
          <t>TRANÅS</t>
        </is>
      </c>
      <c r="F200" t="inlineStr">
        <is>
          <t>Allmännings- och besparingsskogar</t>
        </is>
      </c>
      <c r="G200" t="n">
        <v>4.3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54408-2025</t>
        </is>
      </c>
      <c r="B201" s="1" t="n">
        <v>45964</v>
      </c>
      <c r="C201" s="1" t="n">
        <v>46195</v>
      </c>
      <c r="D201" t="inlineStr">
        <is>
          <t>JÖNKÖPINGS LÄN</t>
        </is>
      </c>
      <c r="E201" t="inlineStr">
        <is>
          <t>TRANÅS</t>
        </is>
      </c>
      <c r="G201" t="n">
        <v>1.2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26855-2025</t>
        </is>
      </c>
      <c r="B202" s="1" t="n">
        <v>45810</v>
      </c>
      <c r="C202" s="1" t="n">
        <v>46195</v>
      </c>
      <c r="D202" t="inlineStr">
        <is>
          <t>JÖNKÖPINGS LÄN</t>
        </is>
      </c>
      <c r="E202" t="inlineStr">
        <is>
          <t>TRANÅS</t>
        </is>
      </c>
      <c r="F202" t="inlineStr">
        <is>
          <t>Kommuner</t>
        </is>
      </c>
      <c r="G202" t="n">
        <v>1.3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54351-2025</t>
        </is>
      </c>
      <c r="B203" s="1" t="n">
        <v>45965</v>
      </c>
      <c r="C203" s="1" t="n">
        <v>46195</v>
      </c>
      <c r="D203" t="inlineStr">
        <is>
          <t>JÖNKÖPINGS LÄN</t>
        </is>
      </c>
      <c r="E203" t="inlineStr">
        <is>
          <t>TRANÅS</t>
        </is>
      </c>
      <c r="G203" t="n">
        <v>1.3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16587-2024</t>
        </is>
      </c>
      <c r="B204" s="1" t="n">
        <v>45408</v>
      </c>
      <c r="C204" s="1" t="n">
        <v>46195</v>
      </c>
      <c r="D204" t="inlineStr">
        <is>
          <t>JÖNKÖPINGS LÄN</t>
        </is>
      </c>
      <c r="E204" t="inlineStr">
        <is>
          <t>TRANÅS</t>
        </is>
      </c>
      <c r="G204" t="n">
        <v>0.9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54992-2025</t>
        </is>
      </c>
      <c r="B205" s="1" t="n">
        <v>45967</v>
      </c>
      <c r="C205" s="1" t="n">
        <v>46195</v>
      </c>
      <c r="D205" t="inlineStr">
        <is>
          <t>JÖNKÖPINGS LÄN</t>
        </is>
      </c>
      <c r="E205" t="inlineStr">
        <is>
          <t>TRANÅS</t>
        </is>
      </c>
      <c r="G205" t="n">
        <v>3.7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19328-2025</t>
        </is>
      </c>
      <c r="B206" s="1" t="n">
        <v>45769</v>
      </c>
      <c r="C206" s="1" t="n">
        <v>46195</v>
      </c>
      <c r="D206" t="inlineStr">
        <is>
          <t>JÖNKÖPINGS LÄN</t>
        </is>
      </c>
      <c r="E206" t="inlineStr">
        <is>
          <t>TRANÅS</t>
        </is>
      </c>
      <c r="G206" t="n">
        <v>1.7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5898-2024</t>
        </is>
      </c>
      <c r="B207" s="1" t="n">
        <v>45335</v>
      </c>
      <c r="C207" s="1" t="n">
        <v>46195</v>
      </c>
      <c r="D207" t="inlineStr">
        <is>
          <t>JÖNKÖPINGS LÄN</t>
        </is>
      </c>
      <c r="E207" t="inlineStr">
        <is>
          <t>TRANÅS</t>
        </is>
      </c>
      <c r="F207" t="inlineStr">
        <is>
          <t>Allmännings- och besparingsskogar</t>
        </is>
      </c>
      <c r="G207" t="n">
        <v>2.2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56148-2025</t>
        </is>
      </c>
      <c r="B208" s="1" t="n">
        <v>45974</v>
      </c>
      <c r="C208" s="1" t="n">
        <v>46195</v>
      </c>
      <c r="D208" t="inlineStr">
        <is>
          <t>JÖNKÖPINGS LÄN</t>
        </is>
      </c>
      <c r="E208" t="inlineStr">
        <is>
          <t>TRANÅS</t>
        </is>
      </c>
      <c r="G208" t="n">
        <v>3.6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7940-2023</t>
        </is>
      </c>
      <c r="B209" s="1" t="n">
        <v>44973</v>
      </c>
      <c r="C209" s="1" t="n">
        <v>46195</v>
      </c>
      <c r="D209" t="inlineStr">
        <is>
          <t>JÖNKÖPINGS LÄN</t>
        </is>
      </c>
      <c r="E209" t="inlineStr">
        <is>
          <t>TRANÅS</t>
        </is>
      </c>
      <c r="F209" t="inlineStr">
        <is>
          <t>Kommuner</t>
        </is>
      </c>
      <c r="G209" t="n">
        <v>2.1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27786-2024</t>
        </is>
      </c>
      <c r="B210" s="1" t="n">
        <v>45475</v>
      </c>
      <c r="C210" s="1" t="n">
        <v>46195</v>
      </c>
      <c r="D210" t="inlineStr">
        <is>
          <t>JÖNKÖPINGS LÄN</t>
        </is>
      </c>
      <c r="E210" t="inlineStr">
        <is>
          <t>TRANÅS</t>
        </is>
      </c>
      <c r="G210" t="n">
        <v>9.199999999999999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37949-2023</t>
        </is>
      </c>
      <c r="B211" s="1" t="n">
        <v>45159</v>
      </c>
      <c r="C211" s="1" t="n">
        <v>46195</v>
      </c>
      <c r="D211" t="inlineStr">
        <is>
          <t>JÖNKÖPINGS LÄN</t>
        </is>
      </c>
      <c r="E211" t="inlineStr">
        <is>
          <t>TRANÅS</t>
        </is>
      </c>
      <c r="G211" t="n">
        <v>1.8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10453-2025</t>
        </is>
      </c>
      <c r="B212" s="1" t="n">
        <v>45720</v>
      </c>
      <c r="C212" s="1" t="n">
        <v>46195</v>
      </c>
      <c r="D212" t="inlineStr">
        <is>
          <t>JÖNKÖPINGS LÄN</t>
        </is>
      </c>
      <c r="E212" t="inlineStr">
        <is>
          <t>TRANÅS</t>
        </is>
      </c>
      <c r="G212" t="n">
        <v>0.8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33201-2025</t>
        </is>
      </c>
      <c r="B213" s="1" t="n">
        <v>45840</v>
      </c>
      <c r="C213" s="1" t="n">
        <v>46195</v>
      </c>
      <c r="D213" t="inlineStr">
        <is>
          <t>JÖNKÖPINGS LÄN</t>
        </is>
      </c>
      <c r="E213" t="inlineStr">
        <is>
          <t>TRANÅS</t>
        </is>
      </c>
      <c r="G213" t="n">
        <v>1.5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57648-2025</t>
        </is>
      </c>
      <c r="B214" s="1" t="n">
        <v>45981</v>
      </c>
      <c r="C214" s="1" t="n">
        <v>46195</v>
      </c>
      <c r="D214" t="inlineStr">
        <is>
          <t>JÖNKÖPINGS LÄN</t>
        </is>
      </c>
      <c r="E214" t="inlineStr">
        <is>
          <t>TRANÅS</t>
        </is>
      </c>
      <c r="G214" t="n">
        <v>7.7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19323-2025</t>
        </is>
      </c>
      <c r="B215" s="1" t="n">
        <v>45769</v>
      </c>
      <c r="C215" s="1" t="n">
        <v>46195</v>
      </c>
      <c r="D215" t="inlineStr">
        <is>
          <t>JÖNKÖPINGS LÄN</t>
        </is>
      </c>
      <c r="E215" t="inlineStr">
        <is>
          <t>TRANÅS</t>
        </is>
      </c>
      <c r="G215" t="n">
        <v>1.9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41496-2023</t>
        </is>
      </c>
      <c r="B216" s="1" t="n">
        <v>45175</v>
      </c>
      <c r="C216" s="1" t="n">
        <v>46195</v>
      </c>
      <c r="D216" t="inlineStr">
        <is>
          <t>JÖNKÖPINGS LÄN</t>
        </is>
      </c>
      <c r="E216" t="inlineStr">
        <is>
          <t>TRANÅS</t>
        </is>
      </c>
      <c r="G216" t="n">
        <v>0.8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59272-2025</t>
        </is>
      </c>
      <c r="B217" s="1" t="n">
        <v>45988</v>
      </c>
      <c r="C217" s="1" t="n">
        <v>46195</v>
      </c>
      <c r="D217" t="inlineStr">
        <is>
          <t>JÖNKÖPINGS LÄN</t>
        </is>
      </c>
      <c r="E217" t="inlineStr">
        <is>
          <t>TRANÅS</t>
        </is>
      </c>
      <c r="G217" t="n">
        <v>0.4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12654-2024</t>
        </is>
      </c>
      <c r="B218" s="1" t="n">
        <v>45379</v>
      </c>
      <c r="C218" s="1" t="n">
        <v>46195</v>
      </c>
      <c r="D218" t="inlineStr">
        <is>
          <t>JÖNKÖPINGS LÄN</t>
        </is>
      </c>
      <c r="E218" t="inlineStr">
        <is>
          <t>TRANÅS</t>
        </is>
      </c>
      <c r="G218" t="n">
        <v>2.2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33006-2025</t>
        </is>
      </c>
      <c r="B219" s="1" t="n">
        <v>45840</v>
      </c>
      <c r="C219" s="1" t="n">
        <v>46195</v>
      </c>
      <c r="D219" t="inlineStr">
        <is>
          <t>JÖNKÖPINGS LÄN</t>
        </is>
      </c>
      <c r="E219" t="inlineStr">
        <is>
          <t>TRANÅS</t>
        </is>
      </c>
      <c r="G219" t="n">
        <v>2.2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73249-2021</t>
        </is>
      </c>
      <c r="B220" s="1" t="n">
        <v>44550</v>
      </c>
      <c r="C220" s="1" t="n">
        <v>46195</v>
      </c>
      <c r="D220" t="inlineStr">
        <is>
          <t>JÖNKÖPINGS LÄN</t>
        </is>
      </c>
      <c r="E220" t="inlineStr">
        <is>
          <t>TRANÅS</t>
        </is>
      </c>
      <c r="G220" t="n">
        <v>4.5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27693-2026</t>
        </is>
      </c>
      <c r="B221" s="1" t="n">
        <v>46190</v>
      </c>
      <c r="C221" s="1" t="n">
        <v>46195</v>
      </c>
      <c r="D221" t="inlineStr">
        <is>
          <t>JÖNKÖPINGS LÄN</t>
        </is>
      </c>
      <c r="E221" t="inlineStr">
        <is>
          <t>TRANÅS</t>
        </is>
      </c>
      <c r="F221" t="inlineStr">
        <is>
          <t>Allmännings- och besparingsskogar</t>
        </is>
      </c>
      <c r="G221" t="n">
        <v>1.2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48315-2023</t>
        </is>
      </c>
      <c r="B222" s="1" t="n">
        <v>45201</v>
      </c>
      <c r="C222" s="1" t="n">
        <v>46195</v>
      </c>
      <c r="D222" t="inlineStr">
        <is>
          <t>JÖNKÖPINGS LÄN</t>
        </is>
      </c>
      <c r="E222" t="inlineStr">
        <is>
          <t>TRANÅS</t>
        </is>
      </c>
      <c r="G222" t="n">
        <v>2.3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27686-2026</t>
        </is>
      </c>
      <c r="B223" s="1" t="n">
        <v>46190</v>
      </c>
      <c r="C223" s="1" t="n">
        <v>46195</v>
      </c>
      <c r="D223" t="inlineStr">
        <is>
          <t>JÖNKÖPINGS LÄN</t>
        </is>
      </c>
      <c r="E223" t="inlineStr">
        <is>
          <t>TRANÅS</t>
        </is>
      </c>
      <c r="F223" t="inlineStr">
        <is>
          <t>Allmännings- och besparingsskogar</t>
        </is>
      </c>
      <c r="G223" t="n">
        <v>11.2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2365-2025</t>
        </is>
      </c>
      <c r="B224" s="1" t="n">
        <v>45673</v>
      </c>
      <c r="C224" s="1" t="n">
        <v>46195</v>
      </c>
      <c r="D224" t="inlineStr">
        <is>
          <t>JÖNKÖPINGS LÄN</t>
        </is>
      </c>
      <c r="E224" t="inlineStr">
        <is>
          <t>TRANÅS</t>
        </is>
      </c>
      <c r="G224" t="n">
        <v>1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27690-2026</t>
        </is>
      </c>
      <c r="B225" s="1" t="n">
        <v>46190</v>
      </c>
      <c r="C225" s="1" t="n">
        <v>46195</v>
      </c>
      <c r="D225" t="inlineStr">
        <is>
          <t>JÖNKÖPINGS LÄN</t>
        </is>
      </c>
      <c r="E225" t="inlineStr">
        <is>
          <t>TRANÅS</t>
        </is>
      </c>
      <c r="F225" t="inlineStr">
        <is>
          <t>Allmännings- och besparingsskogar</t>
        </is>
      </c>
      <c r="G225" t="n">
        <v>2.9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62867-2025</t>
        </is>
      </c>
      <c r="B226" s="1" t="n">
        <v>46008</v>
      </c>
      <c r="C226" s="1" t="n">
        <v>46195</v>
      </c>
      <c r="D226" t="inlineStr">
        <is>
          <t>JÖNKÖPINGS LÄN</t>
        </is>
      </c>
      <c r="E226" t="inlineStr">
        <is>
          <t>TRANÅS</t>
        </is>
      </c>
      <c r="G226" t="n">
        <v>0.9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23984-2023</t>
        </is>
      </c>
      <c r="B227" s="1" t="n">
        <v>45078</v>
      </c>
      <c r="C227" s="1" t="n">
        <v>46195</v>
      </c>
      <c r="D227" t="inlineStr">
        <is>
          <t>JÖNKÖPINGS LÄN</t>
        </is>
      </c>
      <c r="E227" t="inlineStr">
        <is>
          <t>TRANÅS</t>
        </is>
      </c>
      <c r="G227" t="n">
        <v>0.5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23993-2023</t>
        </is>
      </c>
      <c r="B228" s="1" t="n">
        <v>45078</v>
      </c>
      <c r="C228" s="1" t="n">
        <v>46195</v>
      </c>
      <c r="D228" t="inlineStr">
        <is>
          <t>JÖNKÖPINGS LÄN</t>
        </is>
      </c>
      <c r="E228" t="inlineStr">
        <is>
          <t>TRANÅS</t>
        </is>
      </c>
      <c r="G228" t="n">
        <v>4.7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8874-2022</t>
        </is>
      </c>
      <c r="B229" s="1" t="n">
        <v>44614</v>
      </c>
      <c r="C229" s="1" t="n">
        <v>46195</v>
      </c>
      <c r="D229" t="inlineStr">
        <is>
          <t>JÖNKÖPINGS LÄN</t>
        </is>
      </c>
      <c r="E229" t="inlineStr">
        <is>
          <t>TRANÅS</t>
        </is>
      </c>
      <c r="G229" t="n">
        <v>0.3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1613-2022</t>
        </is>
      </c>
      <c r="B230" s="1" t="n">
        <v>44573</v>
      </c>
      <c r="C230" s="1" t="n">
        <v>46195</v>
      </c>
      <c r="D230" t="inlineStr">
        <is>
          <t>JÖNKÖPINGS LÄN</t>
        </is>
      </c>
      <c r="E230" t="inlineStr">
        <is>
          <t>TRANÅS</t>
        </is>
      </c>
      <c r="F230" t="inlineStr">
        <is>
          <t>Allmännings- och besparingsskogar</t>
        </is>
      </c>
      <c r="G230" t="n">
        <v>5.4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37901-2025</t>
        </is>
      </c>
      <c r="B231" s="1" t="n">
        <v>45880</v>
      </c>
      <c r="C231" s="1" t="n">
        <v>46195</v>
      </c>
      <c r="D231" t="inlineStr">
        <is>
          <t>JÖNKÖPINGS LÄN</t>
        </is>
      </c>
      <c r="E231" t="inlineStr">
        <is>
          <t>TRANÅS</t>
        </is>
      </c>
      <c r="G231" t="n">
        <v>3.6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55973-2025</t>
        </is>
      </c>
      <c r="B232" s="1" t="n">
        <v>45973</v>
      </c>
      <c r="C232" s="1" t="n">
        <v>46195</v>
      </c>
      <c r="D232" t="inlineStr">
        <is>
          <t>JÖNKÖPINGS LÄN</t>
        </is>
      </c>
      <c r="E232" t="inlineStr">
        <is>
          <t>TRANÅS</t>
        </is>
      </c>
      <c r="G232" t="n">
        <v>1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7333-2024</t>
        </is>
      </c>
      <c r="B233" s="1" t="n">
        <v>45345</v>
      </c>
      <c r="C233" s="1" t="n">
        <v>46195</v>
      </c>
      <c r="D233" t="inlineStr">
        <is>
          <t>JÖNKÖPINGS LÄN</t>
        </is>
      </c>
      <c r="E233" t="inlineStr">
        <is>
          <t>TRANÅS</t>
        </is>
      </c>
      <c r="F233" t="inlineStr">
        <is>
          <t>Allmännings- och besparingsskogar</t>
        </is>
      </c>
      <c r="G233" t="n">
        <v>2.4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16150-2023</t>
        </is>
      </c>
      <c r="B234" s="1" t="n">
        <v>45027</v>
      </c>
      <c r="C234" s="1" t="n">
        <v>46195</v>
      </c>
      <c r="D234" t="inlineStr">
        <is>
          <t>JÖNKÖPINGS LÄN</t>
        </is>
      </c>
      <c r="E234" t="inlineStr">
        <is>
          <t>TRANÅS</t>
        </is>
      </c>
      <c r="F234" t="inlineStr">
        <is>
          <t>Allmännings- och besparingsskogar</t>
        </is>
      </c>
      <c r="G234" t="n">
        <v>12.3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12214-2022</t>
        </is>
      </c>
      <c r="B235" s="1" t="n">
        <v>44637</v>
      </c>
      <c r="C235" s="1" t="n">
        <v>46195</v>
      </c>
      <c r="D235" t="inlineStr">
        <is>
          <t>JÖNKÖPINGS LÄN</t>
        </is>
      </c>
      <c r="E235" t="inlineStr">
        <is>
          <t>TRANÅS</t>
        </is>
      </c>
      <c r="F235" t="inlineStr">
        <is>
          <t>Allmännings- och besparingsskogar</t>
        </is>
      </c>
      <c r="G235" t="n">
        <v>1.2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57957-2025</t>
        </is>
      </c>
      <c r="B236" s="1" t="n">
        <v>45982</v>
      </c>
      <c r="C236" s="1" t="n">
        <v>46195</v>
      </c>
      <c r="D236" t="inlineStr">
        <is>
          <t>JÖNKÖPINGS LÄN</t>
        </is>
      </c>
      <c r="E236" t="inlineStr">
        <is>
          <t>TRANÅS</t>
        </is>
      </c>
      <c r="G236" t="n">
        <v>7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59640-2025</t>
        </is>
      </c>
      <c r="B237" s="1" t="n">
        <v>45992</v>
      </c>
      <c r="C237" s="1" t="n">
        <v>46195</v>
      </c>
      <c r="D237" t="inlineStr">
        <is>
          <t>JÖNKÖPINGS LÄN</t>
        </is>
      </c>
      <c r="E237" t="inlineStr">
        <is>
          <t>TRANÅS</t>
        </is>
      </c>
      <c r="G237" t="n">
        <v>4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9705-2022</t>
        </is>
      </c>
      <c r="B238" s="1" t="n">
        <v>44617</v>
      </c>
      <c r="C238" s="1" t="n">
        <v>46195</v>
      </c>
      <c r="D238" t="inlineStr">
        <is>
          <t>JÖNKÖPINGS LÄN</t>
        </is>
      </c>
      <c r="E238" t="inlineStr">
        <is>
          <t>TRANÅS</t>
        </is>
      </c>
      <c r="G238" t="n">
        <v>1.5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46854-2024</t>
        </is>
      </c>
      <c r="B239" s="1" t="n">
        <v>45583</v>
      </c>
      <c r="C239" s="1" t="n">
        <v>46195</v>
      </c>
      <c r="D239" t="inlineStr">
        <is>
          <t>JÖNKÖPINGS LÄN</t>
        </is>
      </c>
      <c r="E239" t="inlineStr">
        <is>
          <t>TRANÅS</t>
        </is>
      </c>
      <c r="G239" t="n">
        <v>6.8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2476-2026</t>
        </is>
      </c>
      <c r="B240" s="1" t="n">
        <v>46037</v>
      </c>
      <c r="C240" s="1" t="n">
        <v>46195</v>
      </c>
      <c r="D240" t="inlineStr">
        <is>
          <t>JÖNKÖPINGS LÄN</t>
        </is>
      </c>
      <c r="E240" t="inlineStr">
        <is>
          <t>TRANÅS</t>
        </is>
      </c>
      <c r="G240" t="n">
        <v>0.9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2449-2026</t>
        </is>
      </c>
      <c r="B241" s="1" t="n">
        <v>46037</v>
      </c>
      <c r="C241" s="1" t="n">
        <v>46195</v>
      </c>
      <c r="D241" t="inlineStr">
        <is>
          <t>JÖNKÖPINGS LÄN</t>
        </is>
      </c>
      <c r="E241" t="inlineStr">
        <is>
          <t>TRANÅS</t>
        </is>
      </c>
      <c r="G241" t="n">
        <v>1.7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3458-2026</t>
        </is>
      </c>
      <c r="B242" s="1" t="n">
        <v>46042</v>
      </c>
      <c r="C242" s="1" t="n">
        <v>46195</v>
      </c>
      <c r="D242" t="inlineStr">
        <is>
          <t>JÖNKÖPINGS LÄN</t>
        </is>
      </c>
      <c r="E242" t="inlineStr">
        <is>
          <t>TRANÅS</t>
        </is>
      </c>
      <c r="G242" t="n">
        <v>0.5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3682-2026</t>
        </is>
      </c>
      <c r="B243" s="1" t="n">
        <v>46043</v>
      </c>
      <c r="C243" s="1" t="n">
        <v>46195</v>
      </c>
      <c r="D243" t="inlineStr">
        <is>
          <t>JÖNKÖPINGS LÄN</t>
        </is>
      </c>
      <c r="E243" t="inlineStr">
        <is>
          <t>TRANÅS</t>
        </is>
      </c>
      <c r="G243" t="n">
        <v>0.8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4153-2025</t>
        </is>
      </c>
      <c r="B244" s="1" t="n">
        <v>45685</v>
      </c>
      <c r="C244" s="1" t="n">
        <v>46195</v>
      </c>
      <c r="D244" t="inlineStr">
        <is>
          <t>JÖNKÖPINGS LÄN</t>
        </is>
      </c>
      <c r="E244" t="inlineStr">
        <is>
          <t>TRANÅS</t>
        </is>
      </c>
      <c r="G244" t="n">
        <v>0.8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21012-2022</t>
        </is>
      </c>
      <c r="B245" s="1" t="n">
        <v>44701</v>
      </c>
      <c r="C245" s="1" t="n">
        <v>46195</v>
      </c>
      <c r="D245" t="inlineStr">
        <is>
          <t>JÖNKÖPINGS LÄN</t>
        </is>
      </c>
      <c r="E245" t="inlineStr">
        <is>
          <t>TRANÅS</t>
        </is>
      </c>
      <c r="G245" t="n">
        <v>7.1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23031-2022</t>
        </is>
      </c>
      <c r="B246" s="1" t="n">
        <v>44719</v>
      </c>
      <c r="C246" s="1" t="n">
        <v>46195</v>
      </c>
      <c r="D246" t="inlineStr">
        <is>
          <t>JÖNKÖPINGS LÄN</t>
        </is>
      </c>
      <c r="E246" t="inlineStr">
        <is>
          <t>TRANÅS</t>
        </is>
      </c>
      <c r="F246" t="inlineStr">
        <is>
          <t>Kommuner</t>
        </is>
      </c>
      <c r="G246" t="n">
        <v>3.1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2768-2024</t>
        </is>
      </c>
      <c r="B247" s="1" t="n">
        <v>45314</v>
      </c>
      <c r="C247" s="1" t="n">
        <v>46195</v>
      </c>
      <c r="D247" t="inlineStr">
        <is>
          <t>JÖNKÖPINGS LÄN</t>
        </is>
      </c>
      <c r="E247" t="inlineStr">
        <is>
          <t>TRANÅS</t>
        </is>
      </c>
      <c r="G247" t="n">
        <v>4.4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20663-2022</t>
        </is>
      </c>
      <c r="B248" s="1" t="n">
        <v>44700</v>
      </c>
      <c r="C248" s="1" t="n">
        <v>46195</v>
      </c>
      <c r="D248" t="inlineStr">
        <is>
          <t>JÖNKÖPINGS LÄN</t>
        </is>
      </c>
      <c r="E248" t="inlineStr">
        <is>
          <t>TRANÅS</t>
        </is>
      </c>
      <c r="F248" t="inlineStr">
        <is>
          <t>Allmännings- och besparingsskogar</t>
        </is>
      </c>
      <c r="G248" t="n">
        <v>6.8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5995-2024</t>
        </is>
      </c>
      <c r="B249" s="1" t="n">
        <v>45336</v>
      </c>
      <c r="C249" s="1" t="n">
        <v>46195</v>
      </c>
      <c r="D249" t="inlineStr">
        <is>
          <t>JÖNKÖPINGS LÄN</t>
        </is>
      </c>
      <c r="E249" t="inlineStr">
        <is>
          <t>TRANÅS</t>
        </is>
      </c>
      <c r="G249" t="n">
        <v>1.8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6396-2026</t>
        </is>
      </c>
      <c r="B250" s="1" t="n">
        <v>46055</v>
      </c>
      <c r="C250" s="1" t="n">
        <v>46195</v>
      </c>
      <c r="D250" t="inlineStr">
        <is>
          <t>JÖNKÖPINGS LÄN</t>
        </is>
      </c>
      <c r="E250" t="inlineStr">
        <is>
          <t>TRANÅS</t>
        </is>
      </c>
      <c r="G250" t="n">
        <v>2.8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6110-2026</t>
        </is>
      </c>
      <c r="B251" s="1" t="n">
        <v>46053</v>
      </c>
      <c r="C251" s="1" t="n">
        <v>46195</v>
      </c>
      <c r="D251" t="inlineStr">
        <is>
          <t>JÖNKÖPINGS LÄN</t>
        </is>
      </c>
      <c r="E251" t="inlineStr">
        <is>
          <t>TRANÅS</t>
        </is>
      </c>
      <c r="G251" t="n">
        <v>2.5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6644-2026</t>
        </is>
      </c>
      <c r="B252" s="1" t="n">
        <v>46056</v>
      </c>
      <c r="C252" s="1" t="n">
        <v>46195</v>
      </c>
      <c r="D252" t="inlineStr">
        <is>
          <t>JÖNKÖPINGS LÄN</t>
        </is>
      </c>
      <c r="E252" t="inlineStr">
        <is>
          <t>TRANÅS</t>
        </is>
      </c>
      <c r="G252" t="n">
        <v>0.7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9800-2025</t>
        </is>
      </c>
      <c r="B253" s="1" t="n">
        <v>45715</v>
      </c>
      <c r="C253" s="1" t="n">
        <v>46195</v>
      </c>
      <c r="D253" t="inlineStr">
        <is>
          <t>JÖNKÖPINGS LÄN</t>
        </is>
      </c>
      <c r="E253" t="inlineStr">
        <is>
          <t>TRANÅS</t>
        </is>
      </c>
      <c r="G253" t="n">
        <v>3.2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26449-2022</t>
        </is>
      </c>
      <c r="B254" s="1" t="n">
        <v>44738</v>
      </c>
      <c r="C254" s="1" t="n">
        <v>46195</v>
      </c>
      <c r="D254" t="inlineStr">
        <is>
          <t>JÖNKÖPINGS LÄN</t>
        </is>
      </c>
      <c r="E254" t="inlineStr">
        <is>
          <t>TRANÅS</t>
        </is>
      </c>
      <c r="G254" t="n">
        <v>2.9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1714-2024</t>
        </is>
      </c>
      <c r="B255" s="1" t="n">
        <v>45307</v>
      </c>
      <c r="C255" s="1" t="n">
        <v>46195</v>
      </c>
      <c r="D255" t="inlineStr">
        <is>
          <t>JÖNKÖPINGS LÄN</t>
        </is>
      </c>
      <c r="E255" t="inlineStr">
        <is>
          <t>TRANÅS</t>
        </is>
      </c>
      <c r="F255" t="inlineStr">
        <is>
          <t>Kommuner</t>
        </is>
      </c>
      <c r="G255" t="n">
        <v>5.2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19494-2022</t>
        </is>
      </c>
      <c r="B256" s="1" t="n">
        <v>44693</v>
      </c>
      <c r="C256" s="1" t="n">
        <v>46195</v>
      </c>
      <c r="D256" t="inlineStr">
        <is>
          <t>JÖNKÖPINGS LÄN</t>
        </is>
      </c>
      <c r="E256" t="inlineStr">
        <is>
          <t>TRANÅS</t>
        </is>
      </c>
      <c r="G256" t="n">
        <v>4.5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48751-2021</t>
        </is>
      </c>
      <c r="B257" s="1" t="n">
        <v>44452</v>
      </c>
      <c r="C257" s="1" t="n">
        <v>46195</v>
      </c>
      <c r="D257" t="inlineStr">
        <is>
          <t>JÖNKÖPINGS LÄN</t>
        </is>
      </c>
      <c r="E257" t="inlineStr">
        <is>
          <t>TRANÅS</t>
        </is>
      </c>
      <c r="G257" t="n">
        <v>1.1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7578-2026</t>
        </is>
      </c>
      <c r="B258" s="1" t="n">
        <v>46061</v>
      </c>
      <c r="C258" s="1" t="n">
        <v>46195</v>
      </c>
      <c r="D258" t="inlineStr">
        <is>
          <t>JÖNKÖPINGS LÄN</t>
        </is>
      </c>
      <c r="E258" t="inlineStr">
        <is>
          <t>TRANÅS</t>
        </is>
      </c>
      <c r="G258" t="n">
        <v>1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8313-2026</t>
        </is>
      </c>
      <c r="B259" s="1" t="n">
        <v>46064</v>
      </c>
      <c r="C259" s="1" t="n">
        <v>46195</v>
      </c>
      <c r="D259" t="inlineStr">
        <is>
          <t>JÖNKÖPINGS LÄN</t>
        </is>
      </c>
      <c r="E259" t="inlineStr">
        <is>
          <t>TRANÅS</t>
        </is>
      </c>
      <c r="G259" t="n">
        <v>1.1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34518-2023</t>
        </is>
      </c>
      <c r="B260" s="1" t="n">
        <v>45140</v>
      </c>
      <c r="C260" s="1" t="n">
        <v>46195</v>
      </c>
      <c r="D260" t="inlineStr">
        <is>
          <t>JÖNKÖPINGS LÄN</t>
        </is>
      </c>
      <c r="E260" t="inlineStr">
        <is>
          <t>TRANÅS</t>
        </is>
      </c>
      <c r="G260" t="n">
        <v>2.3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8442-2026</t>
        </is>
      </c>
      <c r="B261" s="1" t="n">
        <v>46065</v>
      </c>
      <c r="C261" s="1" t="n">
        <v>46195</v>
      </c>
      <c r="D261" t="inlineStr">
        <is>
          <t>JÖNKÖPINGS LÄN</t>
        </is>
      </c>
      <c r="E261" t="inlineStr">
        <is>
          <t>TRANÅS</t>
        </is>
      </c>
      <c r="G261" t="n">
        <v>1.1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8418-2026</t>
        </is>
      </c>
      <c r="B262" s="1" t="n">
        <v>46065</v>
      </c>
      <c r="C262" s="1" t="n">
        <v>46195</v>
      </c>
      <c r="D262" t="inlineStr">
        <is>
          <t>JÖNKÖPINGS LÄN</t>
        </is>
      </c>
      <c r="E262" t="inlineStr">
        <is>
          <t>TRANÅS</t>
        </is>
      </c>
      <c r="F262" t="inlineStr">
        <is>
          <t>Kyrkan</t>
        </is>
      </c>
      <c r="G262" t="n">
        <v>8.4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8434-2026</t>
        </is>
      </c>
      <c r="B263" s="1" t="n">
        <v>46065</v>
      </c>
      <c r="C263" s="1" t="n">
        <v>46195</v>
      </c>
      <c r="D263" t="inlineStr">
        <is>
          <t>JÖNKÖPINGS LÄN</t>
        </is>
      </c>
      <c r="E263" t="inlineStr">
        <is>
          <t>TRANÅS</t>
        </is>
      </c>
      <c r="G263" t="n">
        <v>2.6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8820-2026</t>
        </is>
      </c>
      <c r="B264" s="1" t="n">
        <v>46066</v>
      </c>
      <c r="C264" s="1" t="n">
        <v>46195</v>
      </c>
      <c r="D264" t="inlineStr">
        <is>
          <t>JÖNKÖPINGS LÄN</t>
        </is>
      </c>
      <c r="E264" t="inlineStr">
        <is>
          <t>TRANÅS</t>
        </is>
      </c>
      <c r="G264" t="n">
        <v>1.6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45575-2022</t>
        </is>
      </c>
      <c r="B265" s="1" t="n">
        <v>44845</v>
      </c>
      <c r="C265" s="1" t="n">
        <v>46195</v>
      </c>
      <c r="D265" t="inlineStr">
        <is>
          <t>JÖNKÖPINGS LÄN</t>
        </is>
      </c>
      <c r="E265" t="inlineStr">
        <is>
          <t>TRANÅS</t>
        </is>
      </c>
      <c r="G265" t="n">
        <v>0.6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8446-2026</t>
        </is>
      </c>
      <c r="B266" s="1" t="n">
        <v>46065</v>
      </c>
      <c r="C266" s="1" t="n">
        <v>46195</v>
      </c>
      <c r="D266" t="inlineStr">
        <is>
          <t>JÖNKÖPINGS LÄN</t>
        </is>
      </c>
      <c r="E266" t="inlineStr">
        <is>
          <t>TRANÅS</t>
        </is>
      </c>
      <c r="G266" t="n">
        <v>4.1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39722-2024</t>
        </is>
      </c>
      <c r="B267" s="1" t="n">
        <v>45552</v>
      </c>
      <c r="C267" s="1" t="n">
        <v>46195</v>
      </c>
      <c r="D267" t="inlineStr">
        <is>
          <t>JÖNKÖPINGS LÄN</t>
        </is>
      </c>
      <c r="E267" t="inlineStr">
        <is>
          <t>TRANÅS</t>
        </is>
      </c>
      <c r="G267" t="n">
        <v>1.1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3711-2024</t>
        </is>
      </c>
      <c r="B268" s="1" t="n">
        <v>45321</v>
      </c>
      <c r="C268" s="1" t="n">
        <v>46195</v>
      </c>
      <c r="D268" t="inlineStr">
        <is>
          <t>JÖNKÖPINGS LÄN</t>
        </is>
      </c>
      <c r="E268" t="inlineStr">
        <is>
          <t>TRANÅS</t>
        </is>
      </c>
      <c r="G268" t="n">
        <v>1.9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11606-2023</t>
        </is>
      </c>
      <c r="B269" s="1" t="n">
        <v>44992</v>
      </c>
      <c r="C269" s="1" t="n">
        <v>46195</v>
      </c>
      <c r="D269" t="inlineStr">
        <is>
          <t>JÖNKÖPINGS LÄN</t>
        </is>
      </c>
      <c r="E269" t="inlineStr">
        <is>
          <t>TRANÅS</t>
        </is>
      </c>
      <c r="G269" t="n">
        <v>2.1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50202-2023</t>
        </is>
      </c>
      <c r="B270" s="1" t="n">
        <v>45215</v>
      </c>
      <c r="C270" s="1" t="n">
        <v>46195</v>
      </c>
      <c r="D270" t="inlineStr">
        <is>
          <t>JÖNKÖPINGS LÄN</t>
        </is>
      </c>
      <c r="E270" t="inlineStr">
        <is>
          <t>TRANÅS</t>
        </is>
      </c>
      <c r="G270" t="n">
        <v>2.1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39600-2024</t>
        </is>
      </c>
      <c r="B271" s="1" t="n">
        <v>45552</v>
      </c>
      <c r="C271" s="1" t="n">
        <v>46195</v>
      </c>
      <c r="D271" t="inlineStr">
        <is>
          <t>JÖNKÖPINGS LÄN</t>
        </is>
      </c>
      <c r="E271" t="inlineStr">
        <is>
          <t>TRANÅS</t>
        </is>
      </c>
      <c r="G271" t="n">
        <v>1.1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13643-2026</t>
        </is>
      </c>
      <c r="B272" s="1" t="n">
        <v>46097</v>
      </c>
      <c r="C272" s="1" t="n">
        <v>46195</v>
      </c>
      <c r="D272" t="inlineStr">
        <is>
          <t>JÖNKÖPINGS LÄN</t>
        </is>
      </c>
      <c r="E272" t="inlineStr">
        <is>
          <t>TRANÅS</t>
        </is>
      </c>
      <c r="G272" t="n">
        <v>0.6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29130-2023</t>
        </is>
      </c>
      <c r="B273" s="1" t="n">
        <v>45105</v>
      </c>
      <c r="C273" s="1" t="n">
        <v>46195</v>
      </c>
      <c r="D273" t="inlineStr">
        <is>
          <t>JÖNKÖPINGS LÄN</t>
        </is>
      </c>
      <c r="E273" t="inlineStr">
        <is>
          <t>TRANÅS</t>
        </is>
      </c>
      <c r="G273" t="n">
        <v>2.5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14287-2026</t>
        </is>
      </c>
      <c r="B274" s="1" t="n">
        <v>46099</v>
      </c>
      <c r="C274" s="1" t="n">
        <v>46195</v>
      </c>
      <c r="D274" t="inlineStr">
        <is>
          <t>JÖNKÖPINGS LÄN</t>
        </is>
      </c>
      <c r="E274" t="inlineStr">
        <is>
          <t>TRANÅS</t>
        </is>
      </c>
      <c r="G274" t="n">
        <v>1.2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14290-2026</t>
        </is>
      </c>
      <c r="B275" s="1" t="n">
        <v>46099</v>
      </c>
      <c r="C275" s="1" t="n">
        <v>46195</v>
      </c>
      <c r="D275" t="inlineStr">
        <is>
          <t>JÖNKÖPINGS LÄN</t>
        </is>
      </c>
      <c r="E275" t="inlineStr">
        <is>
          <t>TRANÅS</t>
        </is>
      </c>
      <c r="G275" t="n">
        <v>2.2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14278-2026</t>
        </is>
      </c>
      <c r="B276" s="1" t="n">
        <v>46099</v>
      </c>
      <c r="C276" s="1" t="n">
        <v>46195</v>
      </c>
      <c r="D276" t="inlineStr">
        <is>
          <t>JÖNKÖPINGS LÄN</t>
        </is>
      </c>
      <c r="E276" t="inlineStr">
        <is>
          <t>TRANÅS</t>
        </is>
      </c>
      <c r="G276" t="n">
        <v>5.9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17964-2024</t>
        </is>
      </c>
      <c r="B277" s="1" t="n">
        <v>45419</v>
      </c>
      <c r="C277" s="1" t="n">
        <v>46195</v>
      </c>
      <c r="D277" t="inlineStr">
        <is>
          <t>JÖNKÖPINGS LÄN</t>
        </is>
      </c>
      <c r="E277" t="inlineStr">
        <is>
          <t>TRANÅS</t>
        </is>
      </c>
      <c r="G277" t="n">
        <v>0.8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15838-2026</t>
        </is>
      </c>
      <c r="B278" s="1" t="n">
        <v>46107</v>
      </c>
      <c r="C278" s="1" t="n">
        <v>46195</v>
      </c>
      <c r="D278" t="inlineStr">
        <is>
          <t>JÖNKÖPINGS LÄN</t>
        </is>
      </c>
      <c r="E278" t="inlineStr">
        <is>
          <t>TRANÅS</t>
        </is>
      </c>
      <c r="G278" t="n">
        <v>2.8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24068-2026</t>
        </is>
      </c>
      <c r="B279" s="1" t="n">
        <v>46164</v>
      </c>
      <c r="C279" s="1" t="n">
        <v>46195</v>
      </c>
      <c r="D279" t="inlineStr">
        <is>
          <t>JÖNKÖPINGS LÄN</t>
        </is>
      </c>
      <c r="E279" t="inlineStr">
        <is>
          <t>TRANÅS</t>
        </is>
      </c>
      <c r="G279" t="n">
        <v>0.9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25090-2026</t>
        </is>
      </c>
      <c r="B280" s="1" t="n">
        <v>46175</v>
      </c>
      <c r="C280" s="1" t="n">
        <v>46195</v>
      </c>
      <c r="D280" t="inlineStr">
        <is>
          <t>JÖNKÖPINGS LÄN</t>
        </is>
      </c>
      <c r="E280" t="inlineStr">
        <is>
          <t>TRANÅS</t>
        </is>
      </c>
      <c r="G280" t="n">
        <v>1.1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30144-2024</t>
        </is>
      </c>
      <c r="B281" s="1" t="n">
        <v>45489</v>
      </c>
      <c r="C281" s="1" t="n">
        <v>46195</v>
      </c>
      <c r="D281" t="inlineStr">
        <is>
          <t>JÖNKÖPINGS LÄN</t>
        </is>
      </c>
      <c r="E281" t="inlineStr">
        <is>
          <t>TRANÅS</t>
        </is>
      </c>
      <c r="F281" t="inlineStr">
        <is>
          <t>Allmännings- och besparingsskogar</t>
        </is>
      </c>
      <c r="G281" t="n">
        <v>2.7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25806-2026</t>
        </is>
      </c>
      <c r="B282" s="1" t="n">
        <v>46178</v>
      </c>
      <c r="C282" s="1" t="n">
        <v>46195</v>
      </c>
      <c r="D282" t="inlineStr">
        <is>
          <t>JÖNKÖPINGS LÄN</t>
        </is>
      </c>
      <c r="E282" t="inlineStr">
        <is>
          <t>TRANÅS</t>
        </is>
      </c>
      <c r="G282" t="n">
        <v>1.6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19853-2026</t>
        </is>
      </c>
      <c r="B283" s="1" t="n">
        <v>46135</v>
      </c>
      <c r="C283" s="1" t="n">
        <v>46195</v>
      </c>
      <c r="D283" t="inlineStr">
        <is>
          <t>JÖNKÖPINGS LÄN</t>
        </is>
      </c>
      <c r="E283" t="inlineStr">
        <is>
          <t>TRANÅS</t>
        </is>
      </c>
      <c r="G283" t="n">
        <v>0.4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14286-2024</t>
        </is>
      </c>
      <c r="B284" s="1" t="n">
        <v>45393</v>
      </c>
      <c r="C284" s="1" t="n">
        <v>46195</v>
      </c>
      <c r="D284" t="inlineStr">
        <is>
          <t>JÖNKÖPINGS LÄN</t>
        </is>
      </c>
      <c r="E284" t="inlineStr">
        <is>
          <t>TRANÅS</t>
        </is>
      </c>
      <c r="G284" t="n">
        <v>5.6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21351-2025</t>
        </is>
      </c>
      <c r="B285" s="1" t="n">
        <v>45782</v>
      </c>
      <c r="C285" s="1" t="n">
        <v>46195</v>
      </c>
      <c r="D285" t="inlineStr">
        <is>
          <t>JÖNKÖPINGS LÄN</t>
        </is>
      </c>
      <c r="E285" t="inlineStr">
        <is>
          <t>TRANÅS</t>
        </is>
      </c>
      <c r="G285" t="n">
        <v>11.5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>
      <c r="A286" t="inlineStr">
        <is>
          <t>A 19983-2026</t>
        </is>
      </c>
      <c r="B286" s="1" t="n">
        <v>46136</v>
      </c>
      <c r="C286" s="1" t="n">
        <v>46195</v>
      </c>
      <c r="D286" t="inlineStr">
        <is>
          <t>JÖNKÖPINGS LÄN</t>
        </is>
      </c>
      <c r="E286" t="inlineStr">
        <is>
          <t>TRANÅS</t>
        </is>
      </c>
      <c r="G286" t="n">
        <v>0.4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2026-06-22T00:44:17Z</dcterms:created>
  <dcterms:modified xmlns:dcterms="http://purl.org/dc/terms/" xmlns:xsi="http://www.w3.org/2001/XMLSchema-instance" xsi:type="dcterms:W3CDTF">2026-06-22T00:44:17Z</dcterms:modified>
</cp:coreProperties>
</file>