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45762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45762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45762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45762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45762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45762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45762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45762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45762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45762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45762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45762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45762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45762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45762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45762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45762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45762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45762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45762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36261-2020</t>
        </is>
      </c>
      <c r="B22" s="1" t="n">
        <v>44049</v>
      </c>
      <c r="C22" s="1" t="n">
        <v>45762</v>
      </c>
      <c r="D22" t="inlineStr">
        <is>
          <t>JÖNKÖPINGS LÄN</t>
        </is>
      </c>
      <c r="E22" t="inlineStr">
        <is>
          <t>TRANÅS</t>
        </is>
      </c>
      <c r="F22" t="inlineStr">
        <is>
          <t>Allmännings- och besparingsskogar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HYPERLINK("https://klasma.github.io/Logging_0687/artfynd/A 36261-2020 artfynd.xlsx", "A 36261-2020")</f>
        <v/>
      </c>
      <c r="T22">
        <f>HYPERLINK("https://klasma.github.io/Logging_0687/kartor/A 36261-2020 karta.png", "A 36261-2020")</f>
        <v/>
      </c>
      <c r="V22">
        <f>HYPERLINK("https://klasma.github.io/Logging_0687/klagomål/A 36261-2020 FSC-klagomål.docx", "A 36261-2020")</f>
        <v/>
      </c>
      <c r="W22">
        <f>HYPERLINK("https://klasma.github.io/Logging_0687/klagomålsmail/A 36261-2020 FSC-klagomål mail.docx", "A 36261-2020")</f>
        <v/>
      </c>
      <c r="X22">
        <f>HYPERLINK("https://klasma.github.io/Logging_0687/tillsyn/A 36261-2020 tillsynsbegäran.docx", "A 36261-2020")</f>
        <v/>
      </c>
      <c r="Y22">
        <f>HYPERLINK("https://klasma.github.io/Logging_0687/tillsynsmail/A 36261-2020 tillsynsbegäran mail.docx", "A 36261-2020")</f>
        <v/>
      </c>
      <c r="Z22">
        <f>HYPERLINK("https://klasma.github.io/Logging_0687/fåglar/A 36261-2020 prioriterade fågelarter.docx", "A 36261-2020")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45762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45762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45762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45762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45762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45762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45762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45762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45762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45762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45762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45762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45762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45762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45762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45762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45762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45762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45762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45762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45762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45762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45762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45762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45762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45762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45762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45762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45762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45762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29990-2019</t>
        </is>
      </c>
      <c r="B53" s="1" t="n">
        <v>43633</v>
      </c>
      <c r="C53" s="1" t="n">
        <v>45762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30054-2019</t>
        </is>
      </c>
      <c r="B54" s="1" t="n">
        <v>43633</v>
      </c>
      <c r="C54" s="1" t="n">
        <v>45762</v>
      </c>
      <c r="D54" t="inlineStr">
        <is>
          <t>JÖNKÖPINGS LÄN</t>
        </is>
      </c>
      <c r="E54" t="inlineStr">
        <is>
          <t>TRANÅS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30051-2019</t>
        </is>
      </c>
      <c r="B55" s="1" t="n">
        <v>43633</v>
      </c>
      <c r="C55" s="1" t="n">
        <v>45762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30346-2019</t>
        </is>
      </c>
      <c r="B56" s="1" t="n">
        <v>43634</v>
      </c>
      <c r="C56" s="1" t="n">
        <v>45762</v>
      </c>
      <c r="D56" t="inlineStr">
        <is>
          <t>JÖNKÖPINGS LÄN</t>
        </is>
      </c>
      <c r="E56" t="inlineStr">
        <is>
          <t>TRANÅS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30584-2019</t>
        </is>
      </c>
      <c r="B57" s="1" t="n">
        <v>43635</v>
      </c>
      <c r="C57" s="1" t="n">
        <v>45762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36166-2019</t>
        </is>
      </c>
      <c r="B58" s="1" t="n">
        <v>43668</v>
      </c>
      <c r="C58" s="1" t="n">
        <v>45762</v>
      </c>
      <c r="D58" t="inlineStr">
        <is>
          <t>JÖNKÖPINGS LÄN</t>
        </is>
      </c>
      <c r="E58" t="inlineStr">
        <is>
          <t>TRANÅS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37047-2019</t>
        </is>
      </c>
      <c r="B59" s="1" t="n">
        <v>43676</v>
      </c>
      <c r="C59" s="1" t="n">
        <v>45762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37395-2019</t>
        </is>
      </c>
      <c r="B60" s="1" t="n">
        <v>43678</v>
      </c>
      <c r="C60" s="1" t="n">
        <v>45762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37445-2019</t>
        </is>
      </c>
      <c r="B61" s="1" t="n">
        <v>43679</v>
      </c>
      <c r="C61" s="1" t="n">
        <v>45762</v>
      </c>
      <c r="D61" t="inlineStr">
        <is>
          <t>JÖNKÖPINGS LÄN</t>
        </is>
      </c>
      <c r="E61" t="inlineStr">
        <is>
          <t>TRANÅS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37736-2019</t>
        </is>
      </c>
      <c r="B62" s="1" t="n">
        <v>43682</v>
      </c>
      <c r="C62" s="1" t="n">
        <v>45762</v>
      </c>
      <c r="D62" t="inlineStr">
        <is>
          <t>JÖNKÖPINGS LÄN</t>
        </is>
      </c>
      <c r="E62" t="inlineStr">
        <is>
          <t>TRANÅS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37740-2019</t>
        </is>
      </c>
      <c r="B63" s="1" t="n">
        <v>43682</v>
      </c>
      <c r="C63" s="1" t="n">
        <v>45762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38185-2019</t>
        </is>
      </c>
      <c r="B64" s="1" t="n">
        <v>43684</v>
      </c>
      <c r="C64" s="1" t="n">
        <v>45762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39430-2019</t>
        </is>
      </c>
      <c r="B65" s="1" t="n">
        <v>43690</v>
      </c>
      <c r="C65" s="1" t="n">
        <v>45762</v>
      </c>
      <c r="D65" t="inlineStr">
        <is>
          <t>JÖNKÖPINGS LÄN</t>
        </is>
      </c>
      <c r="E65" t="inlineStr">
        <is>
          <t>TRANÅS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40084-2019</t>
        </is>
      </c>
      <c r="B66" s="1" t="n">
        <v>43693</v>
      </c>
      <c r="C66" s="1" t="n">
        <v>45762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40588-2019</t>
        </is>
      </c>
      <c r="B67" s="1" t="n">
        <v>43696</v>
      </c>
      <c r="C67" s="1" t="n">
        <v>45762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41085-2019</t>
        </is>
      </c>
      <c r="B68" s="1" t="n">
        <v>43697</v>
      </c>
      <c r="C68" s="1" t="n">
        <v>45762</v>
      </c>
      <c r="D68" t="inlineStr">
        <is>
          <t>JÖNKÖPINGS LÄN</t>
        </is>
      </c>
      <c r="E68" t="inlineStr">
        <is>
          <t>TRANÅS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41270-2019</t>
        </is>
      </c>
      <c r="B69" s="1" t="n">
        <v>43698</v>
      </c>
      <c r="C69" s="1" t="n">
        <v>45762</v>
      </c>
      <c r="D69" t="inlineStr">
        <is>
          <t>JÖNKÖPINGS LÄN</t>
        </is>
      </c>
      <c r="E69" t="inlineStr">
        <is>
          <t>TRANÅS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41840-2019</t>
        </is>
      </c>
      <c r="B70" s="1" t="n">
        <v>43700</v>
      </c>
      <c r="C70" s="1" t="n">
        <v>45762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41832-2019</t>
        </is>
      </c>
      <c r="B71" s="1" t="n">
        <v>43700</v>
      </c>
      <c r="C71" s="1" t="n">
        <v>45762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42932-2019</t>
        </is>
      </c>
      <c r="B72" s="1" t="n">
        <v>43704</v>
      </c>
      <c r="C72" s="1" t="n">
        <v>45762</v>
      </c>
      <c r="D72" t="inlineStr">
        <is>
          <t>JÖNKÖPINGS LÄN</t>
        </is>
      </c>
      <c r="E72" t="inlineStr">
        <is>
          <t>TRANÅS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43734-2019</t>
        </is>
      </c>
      <c r="B73" s="1" t="n">
        <v>43706</v>
      </c>
      <c r="C73" s="1" t="n">
        <v>45762</v>
      </c>
      <c r="D73" t="inlineStr">
        <is>
          <t>JÖNKÖPINGS LÄN</t>
        </is>
      </c>
      <c r="E73" t="inlineStr">
        <is>
          <t>TRANÅS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43805-2019</t>
        </is>
      </c>
      <c r="B74" s="1" t="n">
        <v>43707</v>
      </c>
      <c r="C74" s="1" t="n">
        <v>45762</v>
      </c>
      <c r="D74" t="inlineStr">
        <is>
          <t>JÖNKÖPINGS LÄN</t>
        </is>
      </c>
      <c r="E74" t="inlineStr">
        <is>
          <t>TRANÅS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43826-2019</t>
        </is>
      </c>
      <c r="B75" s="1" t="n">
        <v>43707</v>
      </c>
      <c r="C75" s="1" t="n">
        <v>45762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45565-2019</t>
        </is>
      </c>
      <c r="B76" s="1" t="n">
        <v>43716</v>
      </c>
      <c r="C76" s="1" t="n">
        <v>45762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46331-2019</t>
        </is>
      </c>
      <c r="B77" s="1" t="n">
        <v>43718</v>
      </c>
      <c r="C77" s="1" t="n">
        <v>45762</v>
      </c>
      <c r="D77" t="inlineStr">
        <is>
          <t>JÖNKÖPINGS LÄN</t>
        </is>
      </c>
      <c r="E77" t="inlineStr">
        <is>
          <t>TRANÅS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46332-2019</t>
        </is>
      </c>
      <c r="B78" s="1" t="n">
        <v>43718</v>
      </c>
      <c r="C78" s="1" t="n">
        <v>45762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46919-2019</t>
        </is>
      </c>
      <c r="B79" s="1" t="n">
        <v>43720</v>
      </c>
      <c r="C79" s="1" t="n">
        <v>45762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49593-2019</t>
        </is>
      </c>
      <c r="B80" s="1" t="n">
        <v>43732</v>
      </c>
      <c r="C80" s="1" t="n">
        <v>45762</v>
      </c>
      <c r="D80" t="inlineStr">
        <is>
          <t>JÖNKÖPINGS LÄN</t>
        </is>
      </c>
      <c r="E80" t="inlineStr">
        <is>
          <t>TRANÅS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51532-2019</t>
        </is>
      </c>
      <c r="B81" s="1" t="n">
        <v>43740</v>
      </c>
      <c r="C81" s="1" t="n">
        <v>45762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51963-2019</t>
        </is>
      </c>
      <c r="B82" s="1" t="n">
        <v>43742</v>
      </c>
      <c r="C82" s="1" t="n">
        <v>45762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52327-2019</t>
        </is>
      </c>
      <c r="B83" s="1" t="n">
        <v>43745</v>
      </c>
      <c r="C83" s="1" t="n">
        <v>45762</v>
      </c>
      <c r="D83" t="inlineStr">
        <is>
          <t>JÖNKÖPINGS LÄN</t>
        </is>
      </c>
      <c r="E83" t="inlineStr">
        <is>
          <t>TRANÅS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54469-2019</t>
        </is>
      </c>
      <c r="B84" s="1" t="n">
        <v>43747</v>
      </c>
      <c r="C84" s="1" t="n">
        <v>45762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55281-2019</t>
        </is>
      </c>
      <c r="B85" s="1" t="n">
        <v>43753</v>
      </c>
      <c r="C85" s="1" t="n">
        <v>45762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54331-2019</t>
        </is>
      </c>
      <c r="B86" s="1" t="n">
        <v>43753</v>
      </c>
      <c r="C86" s="1" t="n">
        <v>45762</v>
      </c>
      <c r="D86" t="inlineStr">
        <is>
          <t>JÖNKÖPINGS LÄN</t>
        </is>
      </c>
      <c r="E86" t="inlineStr">
        <is>
          <t>TRANÅS</t>
        </is>
      </c>
      <c r="F86" t="inlineStr">
        <is>
          <t>Kyrkan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55289-2019</t>
        </is>
      </c>
      <c r="B87" s="1" t="n">
        <v>43753</v>
      </c>
      <c r="C87" s="1" t="n">
        <v>45762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55535-2019</t>
        </is>
      </c>
      <c r="B88" s="1" t="n">
        <v>43760</v>
      </c>
      <c r="C88" s="1" t="n">
        <v>45762</v>
      </c>
      <c r="D88" t="inlineStr">
        <is>
          <t>JÖNKÖPINGS LÄN</t>
        </is>
      </c>
      <c r="E88" t="inlineStr">
        <is>
          <t>TRANÅS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56599-2019</t>
        </is>
      </c>
      <c r="B89" s="1" t="n">
        <v>43763</v>
      </c>
      <c r="C89" s="1" t="n">
        <v>45762</v>
      </c>
      <c r="D89" t="inlineStr">
        <is>
          <t>JÖNKÖPINGS LÄN</t>
        </is>
      </c>
      <c r="E89" t="inlineStr">
        <is>
          <t>TRANÅS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56917-2019</t>
        </is>
      </c>
      <c r="B90" s="1" t="n">
        <v>43763</v>
      </c>
      <c r="C90" s="1" t="n">
        <v>45762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57162-2019</t>
        </is>
      </c>
      <c r="B91" s="1" t="n">
        <v>43766</v>
      </c>
      <c r="C91" s="1" t="n">
        <v>45762</v>
      </c>
      <c r="D91" t="inlineStr">
        <is>
          <t>JÖNKÖPINGS LÄN</t>
        </is>
      </c>
      <c r="E91" t="inlineStr">
        <is>
          <t>TRANÅS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57207-2019</t>
        </is>
      </c>
      <c r="B92" s="1" t="n">
        <v>43767</v>
      </c>
      <c r="C92" s="1" t="n">
        <v>45762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58432-2019</t>
        </is>
      </c>
      <c r="B93" s="1" t="n">
        <v>43769</v>
      </c>
      <c r="C93" s="1" t="n">
        <v>45762</v>
      </c>
      <c r="D93" t="inlineStr">
        <is>
          <t>JÖNKÖPINGS LÄN</t>
        </is>
      </c>
      <c r="E93" t="inlineStr">
        <is>
          <t>TRANÅS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58441-2019</t>
        </is>
      </c>
      <c r="B94" s="1" t="n">
        <v>43769</v>
      </c>
      <c r="C94" s="1" t="n">
        <v>45762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58459-2019</t>
        </is>
      </c>
      <c r="B95" s="1" t="n">
        <v>43769</v>
      </c>
      <c r="C95" s="1" t="n">
        <v>45762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58434-2019</t>
        </is>
      </c>
      <c r="B96" s="1" t="n">
        <v>43769</v>
      </c>
      <c r="C96" s="1" t="n">
        <v>45762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58492-2019</t>
        </is>
      </c>
      <c r="B97" s="1" t="n">
        <v>43769</v>
      </c>
      <c r="C97" s="1" t="n">
        <v>45762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58452-2019</t>
        </is>
      </c>
      <c r="B98" s="1" t="n">
        <v>43769</v>
      </c>
      <c r="C98" s="1" t="n">
        <v>45762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64925-2019</t>
        </is>
      </c>
      <c r="B99" s="1" t="n">
        <v>43795</v>
      </c>
      <c r="C99" s="1" t="n">
        <v>45762</v>
      </c>
      <c r="D99" t="inlineStr">
        <is>
          <t>JÖNKÖPINGS LÄN</t>
        </is>
      </c>
      <c r="E99" t="inlineStr">
        <is>
          <t>TRANÅS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64942-2019</t>
        </is>
      </c>
      <c r="B100" s="1" t="n">
        <v>43795</v>
      </c>
      <c r="C100" s="1" t="n">
        <v>45762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63860-2019</t>
        </is>
      </c>
      <c r="B101" s="1" t="n">
        <v>43796</v>
      </c>
      <c r="C101" s="1" t="n">
        <v>45762</v>
      </c>
      <c r="D101" t="inlineStr">
        <is>
          <t>JÖNKÖPINGS LÄN</t>
        </is>
      </c>
      <c r="E101" t="inlineStr">
        <is>
          <t>TRANÅS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65139-2019</t>
        </is>
      </c>
      <c r="B102" s="1" t="n">
        <v>43796</v>
      </c>
      <c r="C102" s="1" t="n">
        <v>45762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64909-2019</t>
        </is>
      </c>
      <c r="B103" s="1" t="n">
        <v>43801</v>
      </c>
      <c r="C103" s="1" t="n">
        <v>45762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64910-2019</t>
        </is>
      </c>
      <c r="B104" s="1" t="n">
        <v>43801</v>
      </c>
      <c r="C104" s="1" t="n">
        <v>45762</v>
      </c>
      <c r="D104" t="inlineStr">
        <is>
          <t>JÖNKÖPINGS LÄN</t>
        </is>
      </c>
      <c r="E104" t="inlineStr">
        <is>
          <t>TRANÅS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64926-2019</t>
        </is>
      </c>
      <c r="B105" s="1" t="n">
        <v>43801</v>
      </c>
      <c r="C105" s="1" t="n">
        <v>45762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64911-2019</t>
        </is>
      </c>
      <c r="B106" s="1" t="n">
        <v>43801</v>
      </c>
      <c r="C106" s="1" t="n">
        <v>45762</v>
      </c>
      <c r="D106" t="inlineStr">
        <is>
          <t>JÖNKÖPINGS LÄN</t>
        </is>
      </c>
      <c r="E106" t="inlineStr">
        <is>
          <t>TRANÅS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64767-2019</t>
        </is>
      </c>
      <c r="B107" s="1" t="n">
        <v>43801</v>
      </c>
      <c r="C107" s="1" t="n">
        <v>45762</v>
      </c>
      <c r="D107" t="inlineStr">
        <is>
          <t>JÖNKÖPINGS LÄN</t>
        </is>
      </c>
      <c r="E107" t="inlineStr">
        <is>
          <t>TRANÅS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65859-2019</t>
        </is>
      </c>
      <c r="B108" s="1" t="n">
        <v>43804</v>
      </c>
      <c r="C108" s="1" t="n">
        <v>45762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67106-2019</t>
        </is>
      </c>
      <c r="B109" s="1" t="n">
        <v>43811</v>
      </c>
      <c r="C109" s="1" t="n">
        <v>45762</v>
      </c>
      <c r="D109" t="inlineStr">
        <is>
          <t>JÖNKÖPINGS LÄN</t>
        </is>
      </c>
      <c r="E109" t="inlineStr">
        <is>
          <t>TRANÅS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68029-2019</t>
        </is>
      </c>
      <c r="B110" s="1" t="n">
        <v>43816</v>
      </c>
      <c r="C110" s="1" t="n">
        <v>45762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68112-2019</t>
        </is>
      </c>
      <c r="B111" s="1" t="n">
        <v>43817</v>
      </c>
      <c r="C111" s="1" t="n">
        <v>45762</v>
      </c>
      <c r="D111" t="inlineStr">
        <is>
          <t>JÖNKÖPINGS LÄN</t>
        </is>
      </c>
      <c r="E111" t="inlineStr">
        <is>
          <t>TRANÅS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1752-2020</t>
        </is>
      </c>
      <c r="B112" s="1" t="n">
        <v>43832</v>
      </c>
      <c r="C112" s="1" t="n">
        <v>45762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1824-2020</t>
        </is>
      </c>
      <c r="B113" s="1" t="n">
        <v>43833</v>
      </c>
      <c r="C113" s="1" t="n">
        <v>45762</v>
      </c>
      <c r="D113" t="inlineStr">
        <is>
          <t>JÖNKÖPINGS LÄN</t>
        </is>
      </c>
      <c r="E113" t="inlineStr">
        <is>
          <t>TRANÅS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2200-2020</t>
        </is>
      </c>
      <c r="B114" s="1" t="n">
        <v>43846</v>
      </c>
      <c r="C114" s="1" t="n">
        <v>45762</v>
      </c>
      <c r="D114" t="inlineStr">
        <is>
          <t>JÖNKÖPINGS LÄN</t>
        </is>
      </c>
      <c r="E114" t="inlineStr">
        <is>
          <t>TRANÅS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2192-2020</t>
        </is>
      </c>
      <c r="B115" s="1" t="n">
        <v>43846</v>
      </c>
      <c r="C115" s="1" t="n">
        <v>45762</v>
      </c>
      <c r="D115" t="inlineStr">
        <is>
          <t>JÖNKÖPINGS LÄN</t>
        </is>
      </c>
      <c r="E115" t="inlineStr">
        <is>
          <t>TRANÅS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3623-2020</t>
        </is>
      </c>
      <c r="B116" s="1" t="n">
        <v>43853</v>
      </c>
      <c r="C116" s="1" t="n">
        <v>45762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3690-2020</t>
        </is>
      </c>
      <c r="B117" s="1" t="n">
        <v>43853</v>
      </c>
      <c r="C117" s="1" t="n">
        <v>45762</v>
      </c>
      <c r="D117" t="inlineStr">
        <is>
          <t>JÖNKÖPINGS LÄN</t>
        </is>
      </c>
      <c r="E117" t="inlineStr">
        <is>
          <t>TRANÅS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3625-2020</t>
        </is>
      </c>
      <c r="B118" s="1" t="n">
        <v>43853</v>
      </c>
      <c r="C118" s="1" t="n">
        <v>45762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3688-2020</t>
        </is>
      </c>
      <c r="B119" s="1" t="n">
        <v>43853</v>
      </c>
      <c r="C119" s="1" t="n">
        <v>45762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6141-2020</t>
        </is>
      </c>
      <c r="B120" s="1" t="n">
        <v>43865</v>
      </c>
      <c r="C120" s="1" t="n">
        <v>45762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6147-2020</t>
        </is>
      </c>
      <c r="B121" s="1" t="n">
        <v>43865</v>
      </c>
      <c r="C121" s="1" t="n">
        <v>45762</v>
      </c>
      <c r="D121" t="inlineStr">
        <is>
          <t>JÖNKÖPINGS LÄN</t>
        </is>
      </c>
      <c r="E121" t="inlineStr">
        <is>
          <t>TRANÅS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6035-2020</t>
        </is>
      </c>
      <c r="B122" s="1" t="n">
        <v>43865</v>
      </c>
      <c r="C122" s="1" t="n">
        <v>45762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6056-2020</t>
        </is>
      </c>
      <c r="B123" s="1" t="n">
        <v>43865</v>
      </c>
      <c r="C123" s="1" t="n">
        <v>45762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6159-2020</t>
        </is>
      </c>
      <c r="B124" s="1" t="n">
        <v>43865</v>
      </c>
      <c r="C124" s="1" t="n">
        <v>45762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6534-2020</t>
        </is>
      </c>
      <c r="B125" s="1" t="n">
        <v>43865</v>
      </c>
      <c r="C125" s="1" t="n">
        <v>45762</v>
      </c>
      <c r="D125" t="inlineStr">
        <is>
          <t>JÖNKÖPINGS LÄN</t>
        </is>
      </c>
      <c r="E125" t="inlineStr">
        <is>
          <t>TRANÅS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6283-2020</t>
        </is>
      </c>
      <c r="B126" s="1" t="n">
        <v>43866</v>
      </c>
      <c r="C126" s="1" t="n">
        <v>45762</v>
      </c>
      <c r="D126" t="inlineStr">
        <is>
          <t>JÖNKÖPINGS LÄN</t>
        </is>
      </c>
      <c r="E126" t="inlineStr">
        <is>
          <t>TRANÅS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6278-2020</t>
        </is>
      </c>
      <c r="B127" s="1" t="n">
        <v>43866</v>
      </c>
      <c r="C127" s="1" t="n">
        <v>45762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6450-2020</t>
        </is>
      </c>
      <c r="B128" s="1" t="n">
        <v>43866</v>
      </c>
      <c r="C128" s="1" t="n">
        <v>45762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7883-2020</t>
        </is>
      </c>
      <c r="B129" s="1" t="n">
        <v>43873</v>
      </c>
      <c r="C129" s="1" t="n">
        <v>45762</v>
      </c>
      <c r="D129" t="inlineStr">
        <is>
          <t>JÖNKÖPINGS LÄN</t>
        </is>
      </c>
      <c r="E129" t="inlineStr">
        <is>
          <t>TRANÅS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8742-2020</t>
        </is>
      </c>
      <c r="B130" s="1" t="n">
        <v>43878</v>
      </c>
      <c r="C130" s="1" t="n">
        <v>45762</v>
      </c>
      <c r="D130" t="inlineStr">
        <is>
          <t>JÖNKÖPINGS LÄN</t>
        </is>
      </c>
      <c r="E130" t="inlineStr">
        <is>
          <t>TRANÅS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8729-2020</t>
        </is>
      </c>
      <c r="B131" s="1" t="n">
        <v>43878</v>
      </c>
      <c r="C131" s="1" t="n">
        <v>45762</v>
      </c>
      <c r="D131" t="inlineStr">
        <is>
          <t>JÖNKÖPINGS LÄN</t>
        </is>
      </c>
      <c r="E131" t="inlineStr">
        <is>
          <t>TRANÅS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10127-2020</t>
        </is>
      </c>
      <c r="B132" s="1" t="n">
        <v>43887</v>
      </c>
      <c r="C132" s="1" t="n">
        <v>45762</v>
      </c>
      <c r="D132" t="inlineStr">
        <is>
          <t>JÖNKÖPINGS LÄN</t>
        </is>
      </c>
      <c r="E132" t="inlineStr">
        <is>
          <t>TRANÅS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11468-2020</t>
        </is>
      </c>
      <c r="B133" s="1" t="n">
        <v>43892</v>
      </c>
      <c r="C133" s="1" t="n">
        <v>45762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13234-2020</t>
        </is>
      </c>
      <c r="B134" s="1" t="n">
        <v>43901</v>
      </c>
      <c r="C134" s="1" t="n">
        <v>45762</v>
      </c>
      <c r="D134" t="inlineStr">
        <is>
          <t>JÖNKÖPINGS LÄN</t>
        </is>
      </c>
      <c r="E134" t="inlineStr">
        <is>
          <t>TRANÅS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13347-2020</t>
        </is>
      </c>
      <c r="B135" s="1" t="n">
        <v>43902</v>
      </c>
      <c r="C135" s="1" t="n">
        <v>45762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13360-2020</t>
        </is>
      </c>
      <c r="B136" s="1" t="n">
        <v>43902</v>
      </c>
      <c r="C136" s="1" t="n">
        <v>45762</v>
      </c>
      <c r="D136" t="inlineStr">
        <is>
          <t>JÖNKÖPINGS LÄN</t>
        </is>
      </c>
      <c r="E136" t="inlineStr">
        <is>
          <t>TRANÅS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13370-2020</t>
        </is>
      </c>
      <c r="B137" s="1" t="n">
        <v>43902</v>
      </c>
      <c r="C137" s="1" t="n">
        <v>45762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17802-2020</t>
        </is>
      </c>
      <c r="B138" s="1" t="n">
        <v>43924</v>
      </c>
      <c r="C138" s="1" t="n">
        <v>45762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20762-2020</t>
        </is>
      </c>
      <c r="B139" s="1" t="n">
        <v>43949</v>
      </c>
      <c r="C139" s="1" t="n">
        <v>45762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20763-2020</t>
        </is>
      </c>
      <c r="B140" s="1" t="n">
        <v>43949</v>
      </c>
      <c r="C140" s="1" t="n">
        <v>45762</v>
      </c>
      <c r="D140" t="inlineStr">
        <is>
          <t>JÖNKÖPINGS LÄN</t>
        </is>
      </c>
      <c r="E140" t="inlineStr">
        <is>
          <t>TRANÅS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20761-2020</t>
        </is>
      </c>
      <c r="B141" s="1" t="n">
        <v>43949</v>
      </c>
      <c r="C141" s="1" t="n">
        <v>45762</v>
      </c>
      <c r="D141" t="inlineStr">
        <is>
          <t>JÖNKÖPINGS LÄN</t>
        </is>
      </c>
      <c r="E141" t="inlineStr">
        <is>
          <t>TRANÅS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25792-2020</t>
        </is>
      </c>
      <c r="B142" s="1" t="n">
        <v>43984</v>
      </c>
      <c r="C142" s="1" t="n">
        <v>45762</v>
      </c>
      <c r="D142" t="inlineStr">
        <is>
          <t>JÖNKÖPINGS LÄN</t>
        </is>
      </c>
      <c r="E142" t="inlineStr">
        <is>
          <t>TRANÅS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27708-2020</t>
        </is>
      </c>
      <c r="B143" s="1" t="n">
        <v>43993</v>
      </c>
      <c r="C143" s="1" t="n">
        <v>45762</v>
      </c>
      <c r="D143" t="inlineStr">
        <is>
          <t>JÖNKÖPINGS LÄN</t>
        </is>
      </c>
      <c r="E143" t="inlineStr">
        <is>
          <t>TRANÅS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27791-2020</t>
        </is>
      </c>
      <c r="B144" s="1" t="n">
        <v>43994</v>
      </c>
      <c r="C144" s="1" t="n">
        <v>45762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27846-2020</t>
        </is>
      </c>
      <c r="B145" s="1" t="n">
        <v>43994</v>
      </c>
      <c r="C145" s="1" t="n">
        <v>45762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27830-2020</t>
        </is>
      </c>
      <c r="B146" s="1" t="n">
        <v>43994</v>
      </c>
      <c r="C146" s="1" t="n">
        <v>45762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27818-2020</t>
        </is>
      </c>
      <c r="B147" s="1" t="n">
        <v>43994</v>
      </c>
      <c r="C147" s="1" t="n">
        <v>45762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27841-2020</t>
        </is>
      </c>
      <c r="B148" s="1" t="n">
        <v>43994</v>
      </c>
      <c r="C148" s="1" t="n">
        <v>45762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29371-2020</t>
        </is>
      </c>
      <c r="B149" s="1" t="n">
        <v>44004</v>
      </c>
      <c r="C149" s="1" t="n">
        <v>45762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31171-2020</t>
        </is>
      </c>
      <c r="B150" s="1" t="n">
        <v>44012</v>
      </c>
      <c r="C150" s="1" t="n">
        <v>45762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36258-2020</t>
        </is>
      </c>
      <c r="B151" s="1" t="n">
        <v>44049</v>
      </c>
      <c r="C151" s="1" t="n">
        <v>45762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36272-2020</t>
        </is>
      </c>
      <c r="B152" s="1" t="n">
        <v>44049</v>
      </c>
      <c r="C152" s="1" t="n">
        <v>45762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36270-2020</t>
        </is>
      </c>
      <c r="B153" s="1" t="n">
        <v>44049</v>
      </c>
      <c r="C153" s="1" t="n">
        <v>45762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36275-2020</t>
        </is>
      </c>
      <c r="B154" s="1" t="n">
        <v>44049</v>
      </c>
      <c r="C154" s="1" t="n">
        <v>45762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36253-2020</t>
        </is>
      </c>
      <c r="B155" s="1" t="n">
        <v>44049</v>
      </c>
      <c r="C155" s="1" t="n">
        <v>45762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36259-2020</t>
        </is>
      </c>
      <c r="B156" s="1" t="n">
        <v>44049</v>
      </c>
      <c r="C156" s="1" t="n">
        <v>45762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36273-2020</t>
        </is>
      </c>
      <c r="B157" s="1" t="n">
        <v>44049</v>
      </c>
      <c r="C157" s="1" t="n">
        <v>45762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36320-2020</t>
        </is>
      </c>
      <c r="B158" s="1" t="n">
        <v>44049</v>
      </c>
      <c r="C158" s="1" t="n">
        <v>45762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36267-2020</t>
        </is>
      </c>
      <c r="B159" s="1" t="n">
        <v>44049</v>
      </c>
      <c r="C159" s="1" t="n">
        <v>45762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36324-2020</t>
        </is>
      </c>
      <c r="B160" s="1" t="n">
        <v>44049</v>
      </c>
      <c r="C160" s="1" t="n">
        <v>45762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36329-2020</t>
        </is>
      </c>
      <c r="B161" s="1" t="n">
        <v>44049</v>
      </c>
      <c r="C161" s="1" t="n">
        <v>45762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45762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45762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45762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45762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45762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45762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45762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45762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45762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45762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45762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45762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45762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45762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45762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45762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45762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45762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45762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45762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45762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45762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45762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45762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45762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45762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45762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45762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45762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45762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45762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45762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45762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45762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45762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45762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45762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45762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45762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45762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45762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45762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45762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45762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45762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45762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45762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45762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45762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45762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45762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45762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45762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45762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45762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45762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45762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45762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45762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45762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45762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45762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45762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45762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45762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45762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45762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45762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45762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45762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45762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45762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45762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45762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45762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45762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45762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45762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45762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45762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45762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45762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45762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45762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45762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45762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45762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45762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45762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45762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45762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45762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45762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45762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45762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45762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45762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45762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45762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45762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45762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45762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45762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45762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45762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45762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45762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45762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45762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45762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45762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45762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45762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45762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45762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45762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45762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45762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45762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45762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45762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45762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45762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45762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45762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45762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45762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45762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45762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45762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45762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45762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45762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45762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45762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45762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45762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45762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45762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45762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45762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45762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45762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45762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45762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45762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45762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45762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45762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45762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45762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45762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45762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45762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45762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45762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45762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45762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45762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45762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45762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45762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45762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45762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45762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45762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45762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45762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45762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45762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45762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45762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45762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45762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45762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45762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45762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45762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45762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45762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45762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45762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45762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45762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45762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45762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45762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45762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45762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45762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45762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45762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45762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45762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45762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45762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45762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45762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45762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45762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45762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45762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45762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45762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45762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45762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45762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45762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45762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45762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45762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45762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45762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45762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45762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45762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45762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45762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45762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45762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45762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45762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45762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45762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45762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45762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45762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45762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45762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45762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45762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45762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45762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45762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45762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45762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45762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45762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45762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45762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45762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45762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45762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45762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45762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45762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45762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45762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45762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45762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45762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45762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45762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45762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45762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45762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45762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45762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45762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45762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45762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45762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45762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45762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45762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45762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45762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45762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45762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45762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45762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45762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45762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45762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45762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45762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45762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45762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45762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45762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45762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45762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45762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45762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45762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45762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45762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45762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45762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45762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45762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45762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45762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45762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45762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45762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45762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45762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45762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45762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45762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45762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45762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45762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45762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45762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45762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45762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45762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45762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45762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45762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45762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45762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45762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45762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45762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45762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45762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45762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45762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45762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45762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45762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45762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45762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45762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45762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45762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45762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45762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45762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45762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45762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45762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45762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45762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45762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45762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45762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45762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45762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45762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45762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45762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45762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45762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45762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45762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45762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45762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45762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45762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45762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45762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45762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45762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45762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45762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45762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45762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45762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45762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45762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45762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45762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45762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45762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45762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45762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45762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45762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45762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45762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45762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45762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45762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45762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45762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45762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45762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45762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45762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45762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45762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45762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45762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45762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45762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17077-2025</t>
        </is>
      </c>
      <c r="B551" s="1" t="n">
        <v>45754</v>
      </c>
      <c r="C551" s="1" t="n">
        <v>45762</v>
      </c>
      <c r="D551" t="inlineStr">
        <is>
          <t>JÖNKÖPINGS LÄN</t>
        </is>
      </c>
      <c r="E551" t="inlineStr">
        <is>
          <t>TRANÅS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17069-2025</t>
        </is>
      </c>
      <c r="B552" s="1" t="n">
        <v>45754</v>
      </c>
      <c r="C552" s="1" t="n">
        <v>45762</v>
      </c>
      <c r="D552" t="inlineStr">
        <is>
          <t>JÖNKÖPINGS LÄN</t>
        </is>
      </c>
      <c r="E552" t="inlineStr">
        <is>
          <t>TRANÅS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17571-2025</t>
        </is>
      </c>
      <c r="B553" s="1" t="n">
        <v>45757</v>
      </c>
      <c r="C553" s="1" t="n">
        <v>45762</v>
      </c>
      <c r="D553" t="inlineStr">
        <is>
          <t>JÖNKÖPINGS LÄN</t>
        </is>
      </c>
      <c r="E553" t="inlineStr">
        <is>
          <t>TRANÅS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17578-2025</t>
        </is>
      </c>
      <c r="B554" s="1" t="n">
        <v>45757</v>
      </c>
      <c r="C554" s="1" t="n">
        <v>45762</v>
      </c>
      <c r="D554" t="inlineStr">
        <is>
          <t>JÖNKÖPINGS LÄN</t>
        </is>
      </c>
      <c r="E554" t="inlineStr">
        <is>
          <t>TRANÅS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17567-2025</t>
        </is>
      </c>
      <c r="B555" s="1" t="n">
        <v>45757</v>
      </c>
      <c r="C555" s="1" t="n">
        <v>45762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17828-2025</t>
        </is>
      </c>
      <c r="B556" s="1" t="n">
        <v>45758</v>
      </c>
      <c r="C556" s="1" t="n">
        <v>45762</v>
      </c>
      <c r="D556" t="inlineStr">
        <is>
          <t>JÖNKÖPINGS LÄN</t>
        </is>
      </c>
      <c r="E556" t="inlineStr">
        <is>
          <t>TRANÅS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2025-04-15T16:11:59Z</dcterms:created>
  <dcterms:modified xmlns:dcterms="http://purl.org/dc/terms/" xmlns:xsi="http://www.w3.org/2001/XMLSchema-instance" xsi:type="dcterms:W3CDTF">2025-04-15T16:11:59Z</dcterms:modified>
</cp:coreProperties>
</file>