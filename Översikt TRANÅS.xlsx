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46291</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46291</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46291</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46291</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46291</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4529-2024</t>
        </is>
      </c>
      <c r="B7" t="inlineStr">
        <is>
          <t>avverkningsanmälan</t>
        </is>
      </c>
      <c r="C7" t="inlineStr">
        <is>
          <t>Föryngringsavverkning</t>
        </is>
      </c>
      <c r="D7" s="1" t="n">
        <v>45327</v>
      </c>
      <c r="E7" s="1" t="n">
        <v>46291</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46291</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46291</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A 39976-2024</t>
        </is>
      </c>
      <c r="B10" t="inlineStr">
        <is>
          <t>avverkningsanmälan</t>
        </is>
      </c>
      <c r="C10" t="inlineStr">
        <is>
          <t>Avverkning för annat ändamål</t>
        </is>
      </c>
      <c r="D10" s="1" t="n">
        <v>45553</v>
      </c>
      <c r="E10" s="1" t="n">
        <v>46291</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46291</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18179-2024</t>
        </is>
      </c>
      <c r="B12" t="inlineStr">
        <is>
          <t>avverkningsanmälan</t>
        </is>
      </c>
      <c r="C12" t="inlineStr">
        <is>
          <t>Föryngringsavverkning</t>
        </is>
      </c>
      <c r="D12" s="1" t="n">
        <v>45420</v>
      </c>
      <c r="E12" s="1" t="n">
        <v>46291</v>
      </c>
      <c r="F12" t="inlineStr">
        <is>
          <t>JÖNKÖPINGS LÄN</t>
        </is>
      </c>
      <c r="G12" t="inlineStr">
        <is>
          <t>TRANÅS</t>
        </is>
      </c>
      <c r="I12" t="n">
        <v>1.9</v>
      </c>
      <c r="J12" t="n">
        <v>0</v>
      </c>
      <c r="K12" t="n">
        <v>0</v>
      </c>
      <c r="L12" t="n">
        <v>2</v>
      </c>
      <c r="M12" t="n">
        <v>1</v>
      </c>
      <c r="N12" t="n">
        <v>0</v>
      </c>
      <c r="O12" t="n">
        <v>0</v>
      </c>
      <c r="P12" t="n">
        <v>0</v>
      </c>
      <c r="Q12" t="n">
        <v>3</v>
      </c>
      <c r="R12" t="n">
        <v>1</v>
      </c>
      <c r="S12" t="n">
        <v>3</v>
      </c>
      <c r="T12" t="n">
        <v>3</v>
      </c>
      <c r="U12" t="n">
        <v>0</v>
      </c>
      <c r="V12" s="2" t="inlineStr">
        <is>
          <t>Fältgentiana
Svinrot
Åkerväddsantennmal</t>
        </is>
      </c>
      <c r="W12">
        <f>HYPERLINK("https://klasma.github.io/Logging_0687/artfynd/A 18179-2024 artfynd.xlsx", "A 18179-2024")</f>
        <v/>
      </c>
      <c r="X12">
        <f>HYPERLINK("https://klasma.github.io/Logging_0687/kartor/A 18179-2024 karta.png", "A 18179-2024")</f>
        <v/>
      </c>
      <c r="Y12">
        <f>HYPERLINK("https://klasma.github.io/Logging_0687/kartor_geotiff/A 18179-2024 georefererad karta.tif", "A 18179-2024")</f>
        <v/>
      </c>
      <c r="AA12">
        <f>HYPERLINK("https://klasma.github.io/Logging_0687/klagomål/A 18179-2024 FSC-klagomål.docx", "A 18179-2024")</f>
        <v/>
      </c>
      <c r="AB12">
        <f>HYPERLINK("https://klasma.github.io/Logging_0687/klagomålsmail/A 18179-2024 FSC-klagomål mail.docx", "A 18179-2024")</f>
        <v/>
      </c>
      <c r="AC12">
        <f>HYPERLINK("https://klasma.github.io/Logging_0687/tillsyn/A 18179-2024 tillsynsbegäran.docx", "A 18179-2024")</f>
        <v/>
      </c>
      <c r="AD12">
        <f>HYPERLINK("https://klasma.github.io/Logging_0687/tillsynsmail/A 18179-2024 tillsynsbegäran mail.docx", "A 18179-2024")</f>
        <v/>
      </c>
    </row>
    <row r="13" ht="15" customHeight="1">
      <c r="A13" t="inlineStr">
        <is>
          <t>A 46815-2025</t>
        </is>
      </c>
      <c r="B13" t="inlineStr">
        <is>
          <t>avverkningsanmälan</t>
        </is>
      </c>
      <c r="C13" t="inlineStr">
        <is>
          <t>Avverkning för annat ändamål</t>
        </is>
      </c>
      <c r="D13" s="1" t="n">
        <v>45926</v>
      </c>
      <c r="E13" s="1" t="n">
        <v>46291</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6307-2023</t>
        </is>
      </c>
      <c r="B14" t="inlineStr">
        <is>
          <t>avverkningsanmälan</t>
        </is>
      </c>
      <c r="C14" t="inlineStr">
        <is>
          <t>Föryngringsavverkning</t>
        </is>
      </c>
      <c r="D14" s="1" t="n">
        <v>44965</v>
      </c>
      <c r="E14" s="1" t="n">
        <v>46291</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59046-2025</t>
        </is>
      </c>
      <c r="B15" t="inlineStr">
        <is>
          <t>avverkningsanmälan</t>
        </is>
      </c>
      <c r="C15" t="inlineStr">
        <is>
          <t>Avverkning för annat ändamål</t>
        </is>
      </c>
      <c r="D15" s="1" t="n">
        <v>45988</v>
      </c>
      <c r="E15" s="1" t="n">
        <v>46291</v>
      </c>
      <c r="F15" t="inlineStr">
        <is>
          <t>JÖNKÖPINGS LÄN</t>
        </is>
      </c>
      <c r="G15" t="inlineStr">
        <is>
          <t>TRANÅS</t>
        </is>
      </c>
      <c r="I15" t="n">
        <v>2.9</v>
      </c>
      <c r="J15" t="n">
        <v>0</v>
      </c>
      <c r="K15" t="n">
        <v>0</v>
      </c>
      <c r="L15" t="n">
        <v>2</v>
      </c>
      <c r="M15" t="n">
        <v>0</v>
      </c>
      <c r="N15" t="n">
        <v>0</v>
      </c>
      <c r="O15" t="n">
        <v>0</v>
      </c>
      <c r="P15" t="n">
        <v>0</v>
      </c>
      <c r="Q15" t="n">
        <v>2</v>
      </c>
      <c r="R15" t="n">
        <v>0</v>
      </c>
      <c r="S15" t="n">
        <v>2</v>
      </c>
      <c r="T15" t="n">
        <v>2</v>
      </c>
      <c r="U15" t="n">
        <v>0</v>
      </c>
      <c r="V15" s="2" t="inlineStr">
        <is>
          <t>Sommarfibbla
Svinrot</t>
        </is>
      </c>
      <c r="W15">
        <f>HYPERLINK("https://klasma.github.io/Logging_0687/artfynd/A 59046-2025 artfynd.xlsx", "A 59046-2025")</f>
        <v/>
      </c>
      <c r="X15">
        <f>HYPERLINK("https://klasma.github.io/Logging_0687/kartor/A 59046-2025 karta.png", "A 59046-2025")</f>
        <v/>
      </c>
      <c r="Y15">
        <f>HYPERLINK("https://klasma.github.io/Logging_0687/kartor_geotiff/A 59046-2025 georefererad karta.tif", "A 59046-2025")</f>
        <v/>
      </c>
      <c r="AA15">
        <f>HYPERLINK("https://klasma.github.io/Logging_0687/klagomål/A 59046-2025 FSC-klagomål.docx", "A 59046-2025")</f>
        <v/>
      </c>
      <c r="AB15">
        <f>HYPERLINK("https://klasma.github.io/Logging_0687/klagomålsmail/A 59046-2025 FSC-klagomål mail.docx", "A 59046-2025")</f>
        <v/>
      </c>
      <c r="AC15">
        <f>HYPERLINK("https://klasma.github.io/Logging_0687/tillsyn/A 59046-2025 tillsynsbegäran.docx", "A 59046-2025")</f>
        <v/>
      </c>
      <c r="AD15">
        <f>HYPERLINK("https://klasma.github.io/Logging_0687/tillsynsmail/A 59046-2025 tillsynsbegäran mail.docx", "A 59046-2025")</f>
        <v/>
      </c>
    </row>
    <row r="16" ht="15" customHeight="1">
      <c r="A16" t="inlineStr">
        <is>
          <t>A 49844-2025</t>
        </is>
      </c>
      <c r="B16" t="inlineStr">
        <is>
          <t>avverkningsanmälan</t>
        </is>
      </c>
      <c r="C16" t="inlineStr">
        <is>
          <t>Föryngringsavverkning</t>
        </is>
      </c>
      <c r="D16" s="1" t="n">
        <v>45940</v>
      </c>
      <c r="E16" s="1" t="n">
        <v>46291</v>
      </c>
      <c r="F16" t="inlineStr">
        <is>
          <t>JÖNKÖPINGS LÄN</t>
        </is>
      </c>
      <c r="G16" t="inlineStr">
        <is>
          <t>TRANÅS</t>
        </is>
      </c>
      <c r="H16" t="inlineStr">
        <is>
          <t>Kyrkan</t>
        </is>
      </c>
      <c r="I16" t="n">
        <v>6</v>
      </c>
      <c r="J16" t="n">
        <v>0</v>
      </c>
      <c r="K16" t="n">
        <v>1</v>
      </c>
      <c r="L16" t="n">
        <v>0</v>
      </c>
      <c r="M16" t="n">
        <v>0</v>
      </c>
      <c r="N16" t="n">
        <v>0</v>
      </c>
      <c r="O16" t="n">
        <v>0</v>
      </c>
      <c r="P16" t="n">
        <v>0</v>
      </c>
      <c r="Q16" t="n">
        <v>0</v>
      </c>
      <c r="R16" t="n">
        <v>0</v>
      </c>
      <c r="S16" t="n">
        <v>2</v>
      </c>
      <c r="T16" t="n">
        <v>2</v>
      </c>
      <c r="U16" t="n">
        <v>2</v>
      </c>
      <c r="V16" s="2" t="inlineStr">
        <is>
          <t>Västlig hakmossa
Krushättemossa</t>
        </is>
      </c>
      <c r="W16">
        <f>HYPERLINK("https://klasma.github.io/Logging_0687/artfynd/A 49844-2025 artfynd.xlsx", "A 49844-2025")</f>
        <v/>
      </c>
      <c r="X16">
        <f>HYPERLINK("https://klasma.github.io/Logging_0687/kartor/A 49844-2025 karta.png", "A 49844-2025")</f>
        <v/>
      </c>
      <c r="Y16">
        <f>HYPERLINK("https://klasma.github.io/Logging_0687/kartor_geotiff/A 49844-2025 georefererad karta.tif", "A 49844-2025")</f>
        <v/>
      </c>
      <c r="AA16">
        <f>HYPERLINK("https://klasma.github.io/Logging_0687/klagomål/A 49844-2025 FSC-klagomål.docx", "A 49844-2025")</f>
        <v/>
      </c>
      <c r="AB16">
        <f>HYPERLINK("https://klasma.github.io/Logging_0687/klagomålsmail/A 49844-2025 FSC-klagomål mail.docx", "A 49844-2025")</f>
        <v/>
      </c>
      <c r="AC16">
        <f>HYPERLINK("https://klasma.github.io/Logging_0687/tillsyn/A 49844-2025 tillsynsbegäran.docx", "A 49844-2025")</f>
        <v/>
      </c>
      <c r="AD16">
        <f>HYPERLINK("https://klasma.github.io/Logging_0687/tillsynsmail/A 49844-2025 tillsynsbegäran mail.docx", "A 49844-2025")</f>
        <v/>
      </c>
    </row>
    <row r="17" ht="15" customHeight="1">
      <c r="A17" t="inlineStr">
        <is>
          <t>A 20822-2024</t>
        </is>
      </c>
      <c r="B17" t="inlineStr">
        <is>
          <t>avverkningsanmälan</t>
        </is>
      </c>
      <c r="C17" t="inlineStr">
        <is>
          <t>Föryngringsavverkning</t>
        </is>
      </c>
      <c r="D17" s="1" t="n">
        <v>45439</v>
      </c>
      <c r="E17" s="1" t="n">
        <v>46291</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46291</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50634-2023</t>
        </is>
      </c>
      <c r="B19" t="inlineStr">
        <is>
          <t>avverkningsanmälan</t>
        </is>
      </c>
      <c r="C19" t="inlineStr">
        <is>
          <t>Avverkning för annat ändamål</t>
        </is>
      </c>
      <c r="D19" s="1" t="n">
        <v>45217</v>
      </c>
      <c r="E19" s="1" t="n">
        <v>46291</v>
      </c>
      <c r="F19" t="inlineStr">
        <is>
          <t>JÖNKÖPINGS LÄN</t>
        </is>
      </c>
      <c r="G19" t="inlineStr">
        <is>
          <t>TRANÅS</t>
        </is>
      </c>
      <c r="I19" t="n">
        <v>0.9</v>
      </c>
      <c r="J19" t="n">
        <v>2</v>
      </c>
      <c r="K19" t="n">
        <v>0</v>
      </c>
      <c r="L19" t="n">
        <v>2</v>
      </c>
      <c r="M19" t="n">
        <v>0</v>
      </c>
      <c r="N19" t="n">
        <v>0</v>
      </c>
      <c r="O19" t="n">
        <v>0</v>
      </c>
      <c r="P19" t="n">
        <v>0</v>
      </c>
      <c r="Q19" t="n">
        <v>2</v>
      </c>
      <c r="R19" t="n">
        <v>0</v>
      </c>
      <c r="S19" t="n">
        <v>2</v>
      </c>
      <c r="T19" t="n">
        <v>2</v>
      </c>
      <c r="U19" t="n">
        <v>0</v>
      </c>
      <c r="V19" s="2" t="inlineStr">
        <is>
          <t>Rördrom
Rörsångare</t>
        </is>
      </c>
      <c r="W19">
        <f>HYPERLINK("https://klasma.github.io/Logging_0687/artfynd/A 50634-2023 artfynd.xlsx", "A 50634-2023")</f>
        <v/>
      </c>
      <c r="X19">
        <f>HYPERLINK("https://klasma.github.io/Logging_0687/kartor/A 50634-2023 karta.png", "A 50634-2023")</f>
        <v/>
      </c>
      <c r="Y19">
        <f>HYPERLINK("https://klasma.github.io/Logging_0687/kartor_geotiff/A 50634-2023 georefererad karta.tif", "A 50634-2023")</f>
        <v/>
      </c>
      <c r="AA19">
        <f>HYPERLINK("https://klasma.github.io/Logging_0687/klagomål/A 50634-2023 FSC-klagomål.docx", "A 50634-2023")</f>
        <v/>
      </c>
      <c r="AB19">
        <f>HYPERLINK("https://klasma.github.io/Logging_0687/klagomålsmail/A 50634-2023 FSC-klagomål mail.docx", "A 50634-2023")</f>
        <v/>
      </c>
      <c r="AC19">
        <f>HYPERLINK("https://klasma.github.io/Logging_0687/tillsyn/A 50634-2023 tillsynsbegäran.docx", "A 50634-2023")</f>
        <v/>
      </c>
      <c r="AD19">
        <f>HYPERLINK("https://klasma.github.io/Logging_0687/tillsynsmail/A 50634-2023 tillsynsbegäran mail.docx", "A 50634-2023")</f>
        <v/>
      </c>
    </row>
    <row r="20" ht="15" customHeight="1">
      <c r="A20" t="inlineStr">
        <is>
          <t>A 59543-2022</t>
        </is>
      </c>
      <c r="B20" t="inlineStr">
        <is>
          <t>avverkningsanmälan</t>
        </is>
      </c>
      <c r="C20" t="inlineStr">
        <is>
          <t>Föryngringsavverkning</t>
        </is>
      </c>
      <c r="D20" s="1" t="n">
        <v>44900</v>
      </c>
      <c r="E20" s="1" t="n">
        <v>46291</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22417-2025</t>
        </is>
      </c>
      <c r="B21" t="inlineStr">
        <is>
          <t>avverkningsanmälan</t>
        </is>
      </c>
      <c r="C21" t="inlineStr">
        <is>
          <t>Föryngringsavverkning</t>
        </is>
      </c>
      <c r="D21" s="1" t="n">
        <v>45786</v>
      </c>
      <c r="E21" s="1" t="n">
        <v>46291</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S 744-2023</t>
        </is>
      </c>
      <c r="B22" t="inlineStr">
        <is>
          <t>samrådsanmälan</t>
        </is>
      </c>
      <c r="C22" t="inlineStr">
        <is>
          <t>Annan skogsbruksåtgärd</t>
        </is>
      </c>
      <c r="D22" s="1" t="n">
        <v>44980</v>
      </c>
      <c r="E22" s="1" t="n">
        <v>46291</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46291</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44723-2025</t>
        </is>
      </c>
      <c r="B24" t="inlineStr">
        <is>
          <t>avverkningsanmälan</t>
        </is>
      </c>
      <c r="C24" t="inlineStr">
        <is>
          <t>Avverkning för annat ändamål</t>
        </is>
      </c>
      <c r="D24" s="1" t="n">
        <v>45917</v>
      </c>
      <c r="E24" s="1" t="n">
        <v>46291</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44235-2025</t>
        </is>
      </c>
      <c r="B25" t="inlineStr">
        <is>
          <t>avverkningsanmälan</t>
        </is>
      </c>
      <c r="C25" t="inlineStr">
        <is>
          <t>Föryngringsavverkning</t>
        </is>
      </c>
      <c r="D25" s="1" t="n">
        <v>45915</v>
      </c>
      <c r="E25" s="1" t="n">
        <v>46291</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31857-2024</t>
        </is>
      </c>
      <c r="B26" t="inlineStr">
        <is>
          <t>avverkningsanmälan</t>
        </is>
      </c>
      <c r="C26" t="inlineStr">
        <is>
          <t>Föryngringsavverkning</t>
        </is>
      </c>
      <c r="D26" s="1" t="n">
        <v>45509</v>
      </c>
      <c r="E26" s="1" t="n">
        <v>46291</v>
      </c>
      <c r="F26" t="inlineStr">
        <is>
          <t>JÖNKÖPINGS LÄN</t>
        </is>
      </c>
      <c r="G26" t="inlineStr">
        <is>
          <t>TRANÅS</t>
        </is>
      </c>
      <c r="H26" t="inlineStr">
        <is>
          <t>Kommuner</t>
        </is>
      </c>
      <c r="I26" t="n">
        <v>6.2</v>
      </c>
      <c r="J26" t="n">
        <v>0</v>
      </c>
      <c r="K26" t="n">
        <v>0</v>
      </c>
      <c r="L26" t="n">
        <v>0</v>
      </c>
      <c r="M26" t="n">
        <v>1</v>
      </c>
      <c r="N26" t="n">
        <v>0</v>
      </c>
      <c r="O26" t="n">
        <v>0</v>
      </c>
      <c r="P26" t="n">
        <v>0</v>
      </c>
      <c r="Q26" t="n">
        <v>1</v>
      </c>
      <c r="R26" t="n">
        <v>1</v>
      </c>
      <c r="S26" t="n">
        <v>1</v>
      </c>
      <c r="T26" t="n">
        <v>2</v>
      </c>
      <c r="U26" t="n">
        <v>1</v>
      </c>
      <c r="V26" s="2" t="inlineStr">
        <is>
          <t>Ryl</t>
        </is>
      </c>
      <c r="W26">
        <f>HYPERLINK("https://klasma.github.io/Logging_0687/artfynd/A 31857-2024 artfynd.xlsx", "A 31857-2024")</f>
        <v/>
      </c>
      <c r="X26">
        <f>HYPERLINK("https://klasma.github.io/Logging_0687/kartor/A 31857-2024 karta.png", "A 31857-2024")</f>
        <v/>
      </c>
      <c r="Y26">
        <f>HYPERLINK("https://klasma.github.io/Logging_0687/kartor_geotiff/A 31857-2024 georefererad karta.tif", "A 31857-2024")</f>
        <v/>
      </c>
      <c r="AA26">
        <f>HYPERLINK("https://klasma.github.io/Logging_0687/klagomål/A 31857-2024 FSC-klagomål.docx", "A 31857-2024")</f>
        <v/>
      </c>
      <c r="AB26">
        <f>HYPERLINK("https://klasma.github.io/Logging_0687/klagomålsmail/A 31857-2024 FSC-klagomål mail.docx", "A 31857-2024")</f>
        <v/>
      </c>
      <c r="AC26">
        <f>HYPERLINK("https://klasma.github.io/Logging_0687/tillsyn/A 31857-2024 tillsynsbegäran.docx", "A 31857-2024")</f>
        <v/>
      </c>
      <c r="AD26">
        <f>HYPERLINK("https://klasma.github.io/Logging_0687/tillsynsmail/A 31857-2024 tillsynsbegäran mail.docx", "A 31857-2024")</f>
        <v/>
      </c>
    </row>
    <row r="27" ht="15" customHeight="1">
      <c r="A27" t="inlineStr">
        <is>
          <t>A 19465-2026</t>
        </is>
      </c>
      <c r="B27" t="inlineStr">
        <is>
          <t>avverkningsanmälan</t>
        </is>
      </c>
      <c r="C27" t="inlineStr">
        <is>
          <t>Föryngringsavverkning</t>
        </is>
      </c>
      <c r="D27" s="1" t="n">
        <v>46129</v>
      </c>
      <c r="E27" s="1" t="n">
        <v>46291</v>
      </c>
      <c r="F27" t="inlineStr">
        <is>
          <t>JÖNKÖPINGS LÄN</t>
        </is>
      </c>
      <c r="G27" t="inlineStr">
        <is>
          <t>TRANÅS</t>
        </is>
      </c>
      <c r="H27" t="inlineStr">
        <is>
          <t>Kommuner</t>
        </is>
      </c>
      <c r="I27" t="n">
        <v>5.7</v>
      </c>
      <c r="J27" t="n">
        <v>0</v>
      </c>
      <c r="K27" t="n">
        <v>0</v>
      </c>
      <c r="L27" t="n">
        <v>0</v>
      </c>
      <c r="M27" t="n">
        <v>1</v>
      </c>
      <c r="N27" t="n">
        <v>0</v>
      </c>
      <c r="O27" t="n">
        <v>0</v>
      </c>
      <c r="P27" t="n">
        <v>0</v>
      </c>
      <c r="Q27" t="n">
        <v>1</v>
      </c>
      <c r="R27" t="n">
        <v>1</v>
      </c>
      <c r="S27" t="n">
        <v>1</v>
      </c>
      <c r="T27" t="n">
        <v>2</v>
      </c>
      <c r="U27" t="n">
        <v>0</v>
      </c>
      <c r="V27" s="2" t="inlineStr">
        <is>
          <t>Ryl</t>
        </is>
      </c>
      <c r="W27">
        <f>HYPERLINK("https://klasma.github.io/Logging_0687/artfynd/A 19465-2026 artfynd.xlsx", "A 19465-2026")</f>
        <v/>
      </c>
      <c r="X27">
        <f>HYPERLINK("https://klasma.github.io/Logging_0687/kartor/A 19465-2026 karta.png", "A 19465-2026")</f>
        <v/>
      </c>
      <c r="Y27">
        <f>HYPERLINK("https://klasma.github.io/Logging_0687/kartor_geotiff/A 19465-2026 georefererad karta.tif", "A 19465-2026")</f>
        <v/>
      </c>
      <c r="AA27">
        <f>HYPERLINK("https://klasma.github.io/Logging_0687/klagomål/A 19465-2026 FSC-klagomål.docx", "A 19465-2026")</f>
        <v/>
      </c>
      <c r="AB27">
        <f>HYPERLINK("https://klasma.github.io/Logging_0687/klagomålsmail/A 19465-2026 FSC-klagomål mail.docx", "A 19465-2026")</f>
        <v/>
      </c>
      <c r="AC27">
        <f>HYPERLINK("https://klasma.github.io/Logging_0687/tillsyn/A 19465-2026 tillsynsbegäran.docx", "A 19465-2026")</f>
        <v/>
      </c>
      <c r="AD27">
        <f>HYPERLINK("https://klasma.github.io/Logging_0687/tillsynsmail/A 19465-2026 tillsynsbegäran mail.docx", "A 19465-2026")</f>
        <v/>
      </c>
    </row>
    <row r="28" ht="15" customHeight="1">
      <c r="A28" t="inlineStr">
        <is>
          <t>A 19695-2025</t>
        </is>
      </c>
      <c r="B28" t="inlineStr">
        <is>
          <t>avverkningsanmälan</t>
        </is>
      </c>
      <c r="C28" t="inlineStr">
        <is>
          <t>Föryngringsavverkning</t>
        </is>
      </c>
      <c r="D28" s="1" t="n">
        <v>45770</v>
      </c>
      <c r="E28" s="1" t="n">
        <v>46291</v>
      </c>
      <c r="F28" t="inlineStr">
        <is>
          <t>JÖNKÖPINGS LÄN</t>
        </is>
      </c>
      <c r="G28" t="inlineStr">
        <is>
          <t>TRANÅS</t>
        </is>
      </c>
      <c r="I28" t="n">
        <v>1.1</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19695-2025 artfynd.xlsx", "A 19695-2025")</f>
        <v/>
      </c>
      <c r="X28">
        <f>HYPERLINK("https://klasma.github.io/Logging_0687/kartor/A 19695-2025 karta.png", "A 19695-2025")</f>
        <v/>
      </c>
      <c r="Y28">
        <f>HYPERLINK("https://klasma.github.io/Logging_0687/kartor_geotiff/A 19695-2025 georefererad karta.tif", "A 19695-2025")</f>
        <v/>
      </c>
      <c r="AA28">
        <f>HYPERLINK("https://klasma.github.io/Logging_0687/klagomål/A 19695-2025 FSC-klagomål.docx", "A 19695-2025")</f>
        <v/>
      </c>
      <c r="AB28">
        <f>HYPERLINK("https://klasma.github.io/Logging_0687/klagomålsmail/A 19695-2025 FSC-klagomål mail.docx", "A 19695-2025")</f>
        <v/>
      </c>
      <c r="AC28">
        <f>HYPERLINK("https://klasma.github.io/Logging_0687/tillsyn/A 19695-2025 tillsynsbegäran.docx", "A 19695-2025")</f>
        <v/>
      </c>
      <c r="AD28">
        <f>HYPERLINK("https://klasma.github.io/Logging_0687/tillsynsmail/A 19695-2025 tillsynsbegäran mail.docx", "A 19695-2025")</f>
        <v/>
      </c>
    </row>
    <row r="29" ht="15" customHeight="1">
      <c r="A29" t="inlineStr">
        <is>
          <t>A 1720-2024</t>
        </is>
      </c>
      <c r="B29" t="inlineStr">
        <is>
          <t>avverkningsanmälan</t>
        </is>
      </c>
      <c r="C29" t="inlineStr">
        <is>
          <t>Föryngringsavverkning</t>
        </is>
      </c>
      <c r="D29" s="1" t="n">
        <v>45307</v>
      </c>
      <c r="E29" s="1" t="n">
        <v>46291</v>
      </c>
      <c r="F29" t="inlineStr">
        <is>
          <t>JÖNKÖPINGS LÄN</t>
        </is>
      </c>
      <c r="G29" t="inlineStr">
        <is>
          <t>TRANÅS</t>
        </is>
      </c>
      <c r="H29" t="inlineStr">
        <is>
          <t>Kommuner</t>
        </is>
      </c>
      <c r="I29" t="n">
        <v>5.6</v>
      </c>
      <c r="J29" t="n">
        <v>0</v>
      </c>
      <c r="K29" t="n">
        <v>0</v>
      </c>
      <c r="L29" t="n">
        <v>0</v>
      </c>
      <c r="M29" t="n">
        <v>1</v>
      </c>
      <c r="N29" t="n">
        <v>0</v>
      </c>
      <c r="O29" t="n">
        <v>0</v>
      </c>
      <c r="P29" t="n">
        <v>0</v>
      </c>
      <c r="Q29" t="n">
        <v>1</v>
      </c>
      <c r="R29" t="n">
        <v>1</v>
      </c>
      <c r="S29" t="n">
        <v>1</v>
      </c>
      <c r="T29" t="n">
        <v>1</v>
      </c>
      <c r="U29" t="n">
        <v>1</v>
      </c>
      <c r="V29" s="2" t="inlineStr">
        <is>
          <t>Ryl</t>
        </is>
      </c>
      <c r="W29">
        <f>HYPERLINK("https://klasma.github.io/Logging_0687/artfynd/A 1720-2024 artfynd.xlsx", "A 1720-2024")</f>
        <v/>
      </c>
      <c r="X29">
        <f>HYPERLINK("https://klasma.github.io/Logging_0687/kartor/A 1720-2024 karta.png", "A 1720-2024")</f>
        <v/>
      </c>
      <c r="Y29">
        <f>HYPERLINK("https://klasma.github.io/Logging_0687/kartor_geotiff/A 1720-2024 georefererad karta.tif", "A 1720-2024")</f>
        <v/>
      </c>
      <c r="AA29">
        <f>HYPERLINK("https://klasma.github.io/Logging_0687/klagomål/A 1720-2024 FSC-klagomål.docx", "A 1720-2024")</f>
        <v/>
      </c>
      <c r="AB29">
        <f>HYPERLINK("https://klasma.github.io/Logging_0687/klagomålsmail/A 1720-2024 FSC-klagomål mail.docx", "A 1720-2024")</f>
        <v/>
      </c>
      <c r="AC29">
        <f>HYPERLINK("https://klasma.github.io/Logging_0687/tillsyn/A 1720-2024 tillsynsbegäran.docx", "A 1720-2024")</f>
        <v/>
      </c>
      <c r="AD29">
        <f>HYPERLINK("https://klasma.github.io/Logging_0687/tillsynsmail/A 1720-2024 tillsynsbegäran mail.docx", "A 1720-2024")</f>
        <v/>
      </c>
    </row>
    <row r="30" ht="15" customHeight="1">
      <c r="A30" t="inlineStr">
        <is>
          <t>A 20278-2025</t>
        </is>
      </c>
      <c r="B30" t="inlineStr">
        <is>
          <t>avverkningsanmälan</t>
        </is>
      </c>
      <c r="C30" t="inlineStr">
        <is>
          <t>Föryngringsavverkning</t>
        </is>
      </c>
      <c r="D30" s="1" t="n">
        <v>45774</v>
      </c>
      <c r="E30" s="1" t="n">
        <v>46291</v>
      </c>
      <c r="F30" t="inlineStr">
        <is>
          <t>JÖNKÖPINGS LÄN</t>
        </is>
      </c>
      <c r="G30" t="inlineStr">
        <is>
          <t>TRANÅS</t>
        </is>
      </c>
      <c r="I30" t="n">
        <v>1.3</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HYPERLINK("https://klasma.github.io/Logging_0687/artfynd/A 20278-2025 artfynd.xlsx", "A 20278-2025")</f>
        <v/>
      </c>
      <c r="X30">
        <f>HYPERLINK("https://klasma.github.io/Logging_0687/kartor/A 20278-2025 karta.png", "A 20278-2025")</f>
        <v/>
      </c>
      <c r="Y30">
        <f>HYPERLINK("https://klasma.github.io/Logging_0687/kartor_geotiff/A 20278-2025 georefererad karta.tif", "A 20278-2025")</f>
        <v/>
      </c>
      <c r="AA30">
        <f>HYPERLINK("https://klasma.github.io/Logging_0687/klagomål/A 20278-2025 FSC-klagomål.docx", "A 20278-2025")</f>
        <v/>
      </c>
      <c r="AB30">
        <f>HYPERLINK("https://klasma.github.io/Logging_0687/klagomålsmail/A 20278-2025 FSC-klagomål mail.docx", "A 20278-2025")</f>
        <v/>
      </c>
      <c r="AC30">
        <f>HYPERLINK("https://klasma.github.io/Logging_0687/tillsyn/A 20278-2025 tillsynsbegäran.docx", "A 20278-2025")</f>
        <v/>
      </c>
      <c r="AD30">
        <f>HYPERLINK("https://klasma.github.io/Logging_0687/tillsynsmail/A 20278-2025 tillsynsbegäran mail.docx", "A 20278-2025")</f>
        <v/>
      </c>
      <c r="AE30">
        <f>HYPERLINK("https://klasma.github.io/Logging_0687/fåglar/A 20278-2025 prioriterade fågelarter.docx", "A 20278-2025")</f>
        <v/>
      </c>
    </row>
    <row r="31" ht="15" customHeight="1">
      <c r="A31" t="inlineStr">
        <is>
          <t>A 988-2026</t>
        </is>
      </c>
      <c r="B31" t="inlineStr">
        <is>
          <t>avverkningsanmälan</t>
        </is>
      </c>
      <c r="C31" t="inlineStr">
        <is>
          <t>Föryngringsavverkning</t>
        </is>
      </c>
      <c r="D31" s="1" t="n">
        <v>46029</v>
      </c>
      <c r="E31" s="1" t="n">
        <v>46291</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26618-2026</t>
        </is>
      </c>
      <c r="B32" t="inlineStr">
        <is>
          <t>avverkningsanmälan</t>
        </is>
      </c>
      <c r="C32" t="inlineStr">
        <is>
          <t>Avverkning för annat ändamål</t>
        </is>
      </c>
      <c r="D32" s="1" t="n">
        <v>46184</v>
      </c>
      <c r="E32" s="1" t="n">
        <v>46291</v>
      </c>
      <c r="F32" t="inlineStr">
        <is>
          <t>JÖNKÖPINGS LÄN</t>
        </is>
      </c>
      <c r="G32" t="inlineStr">
        <is>
          <t>TRANÅS</t>
        </is>
      </c>
      <c r="I32" t="n">
        <v>2.7</v>
      </c>
      <c r="J32" t="n">
        <v>0</v>
      </c>
      <c r="K32" t="n">
        <v>0</v>
      </c>
      <c r="L32" t="n">
        <v>0</v>
      </c>
      <c r="M32" t="n">
        <v>0</v>
      </c>
      <c r="N32" t="n">
        <v>1</v>
      </c>
      <c r="O32" t="n">
        <v>0</v>
      </c>
      <c r="P32" t="n">
        <v>0</v>
      </c>
      <c r="Q32" t="n">
        <v>1</v>
      </c>
      <c r="R32" t="n">
        <v>1</v>
      </c>
      <c r="S32" t="n">
        <v>1</v>
      </c>
      <c r="T32" t="n">
        <v>1</v>
      </c>
      <c r="U32" t="n">
        <v>0</v>
      </c>
      <c r="V32" s="2" t="inlineStr">
        <is>
          <t>Ask</t>
        </is>
      </c>
      <c r="W32">
        <f>HYPERLINK("https://klasma.github.io/Logging_0687/artfynd/A 26618-2026 artfynd.xlsx", "A 26618-2026")</f>
        <v/>
      </c>
      <c r="X32">
        <f>HYPERLINK("https://klasma.github.io/Logging_0687/kartor/A 26618-2026 karta.png", "A 26618-2026")</f>
        <v/>
      </c>
      <c r="Y32">
        <f>HYPERLINK("https://klasma.github.io/Logging_0687/kartor_geotiff/A 26618-2026 georefererad karta.tif", "A 26618-2026")</f>
        <v/>
      </c>
      <c r="AA32">
        <f>HYPERLINK("https://klasma.github.io/Logging_0687/klagomål/A 26618-2026 FSC-klagomål.docx", "A 26618-2026")</f>
        <v/>
      </c>
      <c r="AB32">
        <f>HYPERLINK("https://klasma.github.io/Logging_0687/klagomålsmail/A 26618-2026 FSC-klagomål mail.docx", "A 26618-2026")</f>
        <v/>
      </c>
      <c r="AC32">
        <f>HYPERLINK("https://klasma.github.io/Logging_0687/tillsyn/A 26618-2026 tillsynsbegäran.docx", "A 26618-2026")</f>
        <v/>
      </c>
      <c r="AD32">
        <f>HYPERLINK("https://klasma.github.io/Logging_0687/tillsynsmail/A 26618-2026 tillsynsbegäran mail.docx", "A 26618-2026")</f>
        <v/>
      </c>
    </row>
    <row r="33" ht="15" customHeight="1">
      <c r="A33" t="inlineStr">
        <is>
          <t>A 28575-2026</t>
        </is>
      </c>
      <c r="B33" t="inlineStr">
        <is>
          <t>avverkningsanmälan</t>
        </is>
      </c>
      <c r="C33" t="inlineStr">
        <is>
          <t>Föryngringsavverkning</t>
        </is>
      </c>
      <c r="D33" s="1" t="n">
        <v>46197</v>
      </c>
      <c r="E33" s="1" t="n">
        <v>46291</v>
      </c>
      <c r="F33" t="inlineStr">
        <is>
          <t>JÖNKÖPINGS LÄN</t>
        </is>
      </c>
      <c r="G33" t="inlineStr">
        <is>
          <t>TRANÅS</t>
        </is>
      </c>
      <c r="I33" t="n">
        <v>1.5</v>
      </c>
      <c r="J33" t="n">
        <v>0</v>
      </c>
      <c r="K33" t="n">
        <v>0</v>
      </c>
      <c r="L33" t="n">
        <v>1</v>
      </c>
      <c r="M33" t="n">
        <v>0</v>
      </c>
      <c r="N33" t="n">
        <v>0</v>
      </c>
      <c r="O33" t="n">
        <v>0</v>
      </c>
      <c r="P33" t="n">
        <v>0</v>
      </c>
      <c r="Q33" t="n">
        <v>1</v>
      </c>
      <c r="R33" t="n">
        <v>0</v>
      </c>
      <c r="S33" t="n">
        <v>1</v>
      </c>
      <c r="T33" t="n">
        <v>1</v>
      </c>
      <c r="U33" t="n">
        <v>0</v>
      </c>
      <c r="V33" s="2" t="inlineStr">
        <is>
          <t>Storgröe</t>
        </is>
      </c>
      <c r="W33">
        <f>HYPERLINK("https://klasma.github.io/Logging_0687/artfynd/A 28575-2026 artfynd.xlsx", "A 28575-2026")</f>
        <v/>
      </c>
      <c r="X33">
        <f>HYPERLINK("https://klasma.github.io/Logging_0687/kartor/A 28575-2026 karta.png", "A 28575-2026")</f>
        <v/>
      </c>
      <c r="Y33">
        <f>HYPERLINK("https://klasma.github.io/Logging_0687/kartor_geotiff/A 28575-2026 georefererad karta.tif", "A 28575-2026")</f>
        <v/>
      </c>
      <c r="AA33">
        <f>HYPERLINK("https://klasma.github.io/Logging_0687/klagomål/A 28575-2026 FSC-klagomål.docx", "A 28575-2026")</f>
        <v/>
      </c>
      <c r="AB33">
        <f>HYPERLINK("https://klasma.github.io/Logging_0687/klagomålsmail/A 28575-2026 FSC-klagomål mail.docx", "A 28575-2026")</f>
        <v/>
      </c>
      <c r="AC33">
        <f>HYPERLINK("https://klasma.github.io/Logging_0687/tillsyn/A 28575-2026 tillsynsbegäran.docx", "A 28575-2026")</f>
        <v/>
      </c>
      <c r="AD33">
        <f>HYPERLINK("https://klasma.github.io/Logging_0687/tillsynsmail/A 28575-2026 tillsynsbegäran mail.docx", "A 28575-2026")</f>
        <v/>
      </c>
    </row>
    <row r="34" ht="15" customHeight="1">
      <c r="A34" t="inlineStr">
        <is>
          <t>A 29382-2022</t>
        </is>
      </c>
      <c r="B34" t="inlineStr">
        <is>
          <t>avverkningsanmälan</t>
        </is>
      </c>
      <c r="C34" t="inlineStr">
        <is>
          <t>Föryngringsavverkning</t>
        </is>
      </c>
      <c r="D34" s="1" t="n">
        <v>44753</v>
      </c>
      <c r="E34" s="1" t="n">
        <v>46291</v>
      </c>
      <c r="F34" t="inlineStr">
        <is>
          <t>JÖNKÖPINGS LÄN</t>
        </is>
      </c>
      <c r="G34" t="inlineStr">
        <is>
          <t>TRANÅS</t>
        </is>
      </c>
      <c r="I34" t="n">
        <v>2.4</v>
      </c>
      <c r="J34" t="n">
        <v>0</v>
      </c>
      <c r="K34" t="n">
        <v>0</v>
      </c>
      <c r="L34" t="n">
        <v>0</v>
      </c>
      <c r="M34" t="n">
        <v>0</v>
      </c>
      <c r="N34" t="n">
        <v>1</v>
      </c>
      <c r="O34" t="n">
        <v>0</v>
      </c>
      <c r="P34" t="n">
        <v>0</v>
      </c>
      <c r="Q34" t="n">
        <v>1</v>
      </c>
      <c r="R34" t="n">
        <v>1</v>
      </c>
      <c r="S34" t="n">
        <v>1</v>
      </c>
      <c r="T34" t="n">
        <v>7</v>
      </c>
      <c r="U34" t="n">
        <v>0</v>
      </c>
      <c r="V34" s="2" t="inlineStr">
        <is>
          <t>Ask</t>
        </is>
      </c>
      <c r="W34">
        <f>HYPERLINK("https://klasma.github.io/Logging_0687/artfynd/A 29382-2022 artfynd.xlsx", "A 29382-2022")</f>
        <v/>
      </c>
      <c r="X34">
        <f>HYPERLINK("https://klasma.github.io/Logging_0687/kartor/A 29382-2022 karta.png", "A 29382-2022")</f>
        <v/>
      </c>
      <c r="Y34">
        <f>HYPERLINK("https://klasma.github.io/Logging_0687/kartor_geotiff/A 29382-2022 georefererad karta.tif", "A 29382-2022")</f>
        <v/>
      </c>
      <c r="AA34">
        <f>HYPERLINK("https://klasma.github.io/Logging_0687/klagomål/A 29382-2022 FSC-klagomål.docx", "A 29382-2022")</f>
        <v/>
      </c>
      <c r="AB34">
        <f>HYPERLINK("https://klasma.github.io/Logging_0687/klagomålsmail/A 29382-2022 FSC-klagomål mail.docx", "A 29382-2022")</f>
        <v/>
      </c>
      <c r="AC34">
        <f>HYPERLINK("https://klasma.github.io/Logging_0687/tillsyn/A 29382-2022 tillsynsbegäran.docx", "A 29382-2022")</f>
        <v/>
      </c>
      <c r="AD34">
        <f>HYPERLINK("https://klasma.github.io/Logging_0687/tillsynsmail/A 29382-2022 tillsynsbegäran mail.docx", "A 29382-2022")</f>
        <v/>
      </c>
    </row>
    <row r="35" ht="15" customHeight="1">
      <c r="A35" t="inlineStr">
        <is>
          <t>A 9977-2022</t>
        </is>
      </c>
      <c r="B35" t="inlineStr">
        <is>
          <t>avverkningsanmälan</t>
        </is>
      </c>
      <c r="C35" t="inlineStr">
        <is>
          <t>Föryngringsavverkning</t>
        </is>
      </c>
      <c r="D35" s="1" t="n">
        <v>44621</v>
      </c>
      <c r="E35" s="1" t="n">
        <v>46291</v>
      </c>
      <c r="F35" t="inlineStr">
        <is>
          <t>JÖNKÖPINGS LÄN</t>
        </is>
      </c>
      <c r="G35" t="inlineStr">
        <is>
          <t>TRANÅS</t>
        </is>
      </c>
      <c r="I35" t="n">
        <v>4.7</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HYPERLINK("https://klasma.github.io/Logging_0687/artfynd/A 9977-2022 artfynd.xlsx", "A 9977-2022")</f>
        <v/>
      </c>
      <c r="X35">
        <f>HYPERLINK("https://klasma.github.io/Logging_0687/kartor/A 9977-2022 karta.png", "A 9977-2022")</f>
        <v/>
      </c>
      <c r="Y35">
        <f>HYPERLINK("https://klasma.github.io/Logging_0687/kartor_geotiff/A 9977-2022 georefererad karta.tif", "A 9977-2022")</f>
        <v/>
      </c>
      <c r="AA35">
        <f>HYPERLINK("https://klasma.github.io/Logging_0687/klagomål/A 9977-2022 FSC-klagomål.docx", "A 9977-2022")</f>
        <v/>
      </c>
      <c r="AB35">
        <f>HYPERLINK("https://klasma.github.io/Logging_0687/klagomålsmail/A 9977-2022 FSC-klagomål mail.docx", "A 9977-2022")</f>
        <v/>
      </c>
      <c r="AC35">
        <f>HYPERLINK("https://klasma.github.io/Logging_0687/tillsyn/A 9977-2022 tillsynsbegäran.docx", "A 9977-2022")</f>
        <v/>
      </c>
      <c r="AD35">
        <f>HYPERLINK("https://klasma.github.io/Logging_0687/tillsynsmail/A 9977-2022 tillsynsbegäran mail.docx", "A 9977-2022")</f>
        <v/>
      </c>
    </row>
    <row r="36" ht="15" customHeight="1">
      <c r="A36" t="inlineStr">
        <is>
          <t>A 60263-2023</t>
        </is>
      </c>
      <c r="B36" t="inlineStr">
        <is>
          <t>avverkningsanmälan</t>
        </is>
      </c>
      <c r="C36" t="inlineStr">
        <is>
          <t>Föryngringsavverkning</t>
        </is>
      </c>
      <c r="D36" s="1" t="n">
        <v>45258</v>
      </c>
      <c r="E36" s="1" t="n">
        <v>46291</v>
      </c>
      <c r="F36" t="inlineStr">
        <is>
          <t>JÖNKÖPINGS LÄN</t>
        </is>
      </c>
      <c r="G36" t="inlineStr">
        <is>
          <t>TRANÅS</t>
        </is>
      </c>
      <c r="H36" t="inlineStr">
        <is>
          <t>Kommuner</t>
        </is>
      </c>
      <c r="I36" t="n">
        <v>2.1</v>
      </c>
      <c r="J36" t="n">
        <v>1</v>
      </c>
      <c r="K36" t="n">
        <v>0</v>
      </c>
      <c r="L36" t="n">
        <v>0</v>
      </c>
      <c r="M36" t="n">
        <v>0</v>
      </c>
      <c r="N36" t="n">
        <v>0</v>
      </c>
      <c r="O36" t="n">
        <v>0</v>
      </c>
      <c r="P36" t="n">
        <v>0</v>
      </c>
      <c r="Q36" t="n">
        <v>0</v>
      </c>
      <c r="R36" t="n">
        <v>0</v>
      </c>
      <c r="S36" t="n">
        <v>1</v>
      </c>
      <c r="T36" t="n">
        <v>1</v>
      </c>
      <c r="U36" t="n">
        <v>1</v>
      </c>
      <c r="V36" s="2" t="inlineStr">
        <is>
          <t>Grönvit nattviol</t>
        </is>
      </c>
      <c r="W36">
        <f>HYPERLINK("https://klasma.github.io/Logging_0687/artfynd/A 60263-2023 artfynd.xlsx", "A 60263-2023")</f>
        <v/>
      </c>
      <c r="X36">
        <f>HYPERLINK("https://klasma.github.io/Logging_0687/kartor/A 60263-2023 karta.png", "A 60263-2023")</f>
        <v/>
      </c>
      <c r="Y36">
        <f>HYPERLINK("https://klasma.github.io/Logging_0687/kartor_geotiff/A 60263-2023 georefererad karta.tif", "A 60263-2023")</f>
        <v/>
      </c>
      <c r="AA36">
        <f>HYPERLINK("https://klasma.github.io/Logging_0687/klagomål/A 60263-2023 FSC-klagomål.docx", "A 60263-2023")</f>
        <v/>
      </c>
      <c r="AB36">
        <f>HYPERLINK("https://klasma.github.io/Logging_0687/klagomålsmail/A 60263-2023 FSC-klagomål mail.docx", "A 60263-2023")</f>
        <v/>
      </c>
      <c r="AC36">
        <f>HYPERLINK("https://klasma.github.io/Logging_0687/tillsyn/A 60263-2023 tillsynsbegäran.docx", "A 60263-2023")</f>
        <v/>
      </c>
      <c r="AD36">
        <f>HYPERLINK("https://klasma.github.io/Logging_0687/tillsynsmail/A 60263-2023 tillsynsbegäran mail.docx", "A 60263-2023")</f>
        <v/>
      </c>
    </row>
    <row r="37" ht="15" customHeight="1">
      <c r="A37" t="inlineStr">
        <is>
          <t>A 23033-2022</t>
        </is>
      </c>
      <c r="B37" t="inlineStr">
        <is>
          <t>avverkningsanmälan</t>
        </is>
      </c>
      <c r="C37" t="inlineStr">
        <is>
          <t>Avverkning för annat ändamål</t>
        </is>
      </c>
      <c r="D37" s="1" t="n">
        <v>44719</v>
      </c>
      <c r="E37" s="1" t="n">
        <v>46291</v>
      </c>
      <c r="F37" t="inlineStr">
        <is>
          <t>JÖNKÖPINGS LÄN</t>
        </is>
      </c>
      <c r="G37" t="inlineStr">
        <is>
          <t>TRANÅS</t>
        </is>
      </c>
      <c r="H37" t="inlineStr">
        <is>
          <t>Kommuner</t>
        </is>
      </c>
      <c r="I37" t="n">
        <v>5.1</v>
      </c>
      <c r="J37" t="n">
        <v>0</v>
      </c>
      <c r="K37" t="n">
        <v>1</v>
      </c>
      <c r="L37" t="n">
        <v>0</v>
      </c>
      <c r="M37" t="n">
        <v>0</v>
      </c>
      <c r="N37" t="n">
        <v>0</v>
      </c>
      <c r="O37" t="n">
        <v>0</v>
      </c>
      <c r="P37" t="n">
        <v>0</v>
      </c>
      <c r="Q37" t="n">
        <v>0</v>
      </c>
      <c r="R37" t="n">
        <v>0</v>
      </c>
      <c r="S37" t="n">
        <v>1</v>
      </c>
      <c r="T37" t="n">
        <v>2</v>
      </c>
      <c r="U37" t="n">
        <v>0</v>
      </c>
      <c r="V37" s="2" t="inlineStr">
        <is>
          <t>Kantjordstjärna</t>
        </is>
      </c>
      <c r="W37">
        <f>HYPERLINK("https://klasma.github.io/Logging_0687/artfynd/A 23033-2022 artfynd.xlsx", "A 23033-2022")</f>
        <v/>
      </c>
      <c r="X37">
        <f>HYPERLINK("https://klasma.github.io/Logging_0687/kartor/A 23033-2022 karta.png", "A 23033-2022")</f>
        <v/>
      </c>
      <c r="Y37">
        <f>HYPERLINK("https://klasma.github.io/Logging_0687/kartor_geotiff/A 23033-2022 georefererad karta.tif", "A 23033-2022")</f>
        <v/>
      </c>
      <c r="AA37">
        <f>HYPERLINK("https://klasma.github.io/Logging_0687/klagomål/A 23033-2022 FSC-klagomål.docx", "A 23033-2022")</f>
        <v/>
      </c>
      <c r="AB37">
        <f>HYPERLINK("https://klasma.github.io/Logging_0687/klagomålsmail/A 23033-2022 FSC-klagomål mail.docx", "A 23033-2022")</f>
        <v/>
      </c>
      <c r="AC37">
        <f>HYPERLINK("https://klasma.github.io/Logging_0687/tillsyn/A 23033-2022 tillsynsbegäran.docx", "A 23033-2022")</f>
        <v/>
      </c>
      <c r="AD37">
        <f>HYPERLINK("https://klasma.github.io/Logging_0687/tillsynsmail/A 23033-2022 tillsynsbegäran mail.docx", "A 23033-2022")</f>
        <v/>
      </c>
    </row>
    <row r="38" ht="15" customHeight="1">
      <c r="A38" t="inlineStr">
        <is>
          <t>A 37703-2023</t>
        </is>
      </c>
      <c r="B38" t="inlineStr">
        <is>
          <t>avverkningsanmälan</t>
        </is>
      </c>
      <c r="C38" t="inlineStr">
        <is>
          <t>Föryngringsavverkning</t>
        </is>
      </c>
      <c r="D38" s="1" t="n">
        <v>45159</v>
      </c>
      <c r="E38" s="1" t="n">
        <v>46291</v>
      </c>
      <c r="F38" t="inlineStr">
        <is>
          <t>JÖNKÖPINGS LÄN</t>
        </is>
      </c>
      <c r="G38" t="inlineStr">
        <is>
          <t>TRANÅS</t>
        </is>
      </c>
      <c r="I38" t="n">
        <v>2</v>
      </c>
      <c r="J38" t="n">
        <v>0</v>
      </c>
      <c r="K38" t="n">
        <v>0</v>
      </c>
      <c r="L38" t="n">
        <v>0</v>
      </c>
      <c r="M38" t="n">
        <v>0</v>
      </c>
      <c r="N38" t="n">
        <v>1</v>
      </c>
      <c r="O38" t="n">
        <v>0</v>
      </c>
      <c r="P38" t="n">
        <v>0</v>
      </c>
      <c r="Q38" t="n">
        <v>1</v>
      </c>
      <c r="R38" t="n">
        <v>1</v>
      </c>
      <c r="S38" t="n">
        <v>1</v>
      </c>
      <c r="T38" t="n">
        <v>1</v>
      </c>
      <c r="U38" t="n">
        <v>0</v>
      </c>
      <c r="V38" s="2" t="inlineStr">
        <is>
          <t>Ask</t>
        </is>
      </c>
      <c r="W38">
        <f>HYPERLINK("https://klasma.github.io/Logging_0687/artfynd/A 37703-2023 artfynd.xlsx", "A 37703-2023")</f>
        <v/>
      </c>
      <c r="X38">
        <f>HYPERLINK("https://klasma.github.io/Logging_0687/kartor/A 37703-2023 karta.png", "A 37703-2023")</f>
        <v/>
      </c>
      <c r="Y38">
        <f>HYPERLINK("https://klasma.github.io/Logging_0687/kartor_geotiff/A 37703-2023 georefererad karta.tif", "A 37703-2023")</f>
        <v/>
      </c>
      <c r="AA38">
        <f>HYPERLINK("https://klasma.github.io/Logging_0687/klagomål/A 37703-2023 FSC-klagomål.docx", "A 37703-2023")</f>
        <v/>
      </c>
      <c r="AB38">
        <f>HYPERLINK("https://klasma.github.io/Logging_0687/klagomålsmail/A 37703-2023 FSC-klagomål mail.docx", "A 37703-2023")</f>
        <v/>
      </c>
      <c r="AC38">
        <f>HYPERLINK("https://klasma.github.io/Logging_0687/tillsyn/A 37703-2023 tillsynsbegäran.docx", "A 37703-2023")</f>
        <v/>
      </c>
      <c r="AD38">
        <f>HYPERLINK("https://klasma.github.io/Logging_0687/tillsynsmail/A 37703-2023 tillsynsbegäran mail.docx", "A 37703-2023")</f>
        <v/>
      </c>
    </row>
    <row r="39" ht="15" customHeight="1">
      <c r="A39" t="inlineStr">
        <is>
          <t>S 1057-2026</t>
        </is>
      </c>
      <c r="B39" t="inlineStr">
        <is>
          <t>samrådsanmälan</t>
        </is>
      </c>
      <c r="C39" t="inlineStr">
        <is>
          <t>Annan skogsbruksåtgärd</t>
        </is>
      </c>
      <c r="D39" s="1" t="n">
        <v>46126</v>
      </c>
      <c r="E39" s="1" t="n">
        <v>46291</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46291</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46291</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46291</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46291</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46291</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46291</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46291</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46291</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46291</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46291</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46291</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46291</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46291</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46291</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46291</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46291</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46291</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46291</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46291</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46291</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46291</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52531-2021</t>
        </is>
      </c>
      <c r="B61" t="inlineStr">
        <is>
          <t>avverkningsanmälan</t>
        </is>
      </c>
      <c r="C61" t="inlineStr">
        <is>
          <t>Föryngringsavverkning</t>
        </is>
      </c>
      <c r="D61" s="1" t="n">
        <v>44466</v>
      </c>
      <c r="E61" s="1" t="n">
        <v>46291</v>
      </c>
      <c r="F61" t="inlineStr">
        <is>
          <t>JÖNKÖPINGS LÄN</t>
        </is>
      </c>
      <c r="G61" t="inlineStr">
        <is>
          <t>TRANÅS</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31232-2022</t>
        </is>
      </c>
      <c r="B62" t="inlineStr">
        <is>
          <t>avverkningsanmälan</t>
        </is>
      </c>
      <c r="C62" t="inlineStr">
        <is>
          <t>Föryngringsavverkning</t>
        </is>
      </c>
      <c r="D62" s="1" t="n">
        <v>44771</v>
      </c>
      <c r="E62" s="1" t="n">
        <v>46291</v>
      </c>
      <c r="F62" t="inlineStr">
        <is>
          <t>JÖNKÖPINGS LÄN</t>
        </is>
      </c>
      <c r="G62" t="inlineStr">
        <is>
          <t>TRANÅS</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67418-2021</t>
        </is>
      </c>
      <c r="B63" t="inlineStr">
        <is>
          <t>avverkningsanmälan</t>
        </is>
      </c>
      <c r="C63" t="inlineStr">
        <is>
          <t>Avverkning för annat ändamål</t>
        </is>
      </c>
      <c r="D63" s="1" t="n">
        <v>44524</v>
      </c>
      <c r="E63" s="1" t="n">
        <v>46291</v>
      </c>
      <c r="F63" t="inlineStr">
        <is>
          <t>JÖNKÖPINGS LÄN</t>
        </is>
      </c>
      <c r="G63" t="inlineStr">
        <is>
          <t>TRANÅS</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53489-2023</t>
        </is>
      </c>
      <c r="B64" t="inlineStr">
        <is>
          <t>avverkningsanmälan</t>
        </is>
      </c>
      <c r="C64" t="inlineStr">
        <is>
          <t>Föryngringsavverkning</t>
        </is>
      </c>
      <c r="D64" s="1" t="n">
        <v>45230</v>
      </c>
      <c r="E64" s="1" t="n">
        <v>46291</v>
      </c>
      <c r="F64" t="inlineStr">
        <is>
          <t>JÖNKÖPINGS LÄN</t>
        </is>
      </c>
      <c r="G64" t="inlineStr">
        <is>
          <t>TRANÅS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12070-2024</t>
        </is>
      </c>
      <c r="B65" t="inlineStr">
        <is>
          <t>avverkningsanmälan</t>
        </is>
      </c>
      <c r="C65" t="inlineStr">
        <is>
          <t>Föryngringsavverkning</t>
        </is>
      </c>
      <c r="D65" s="1" t="n">
        <v>45377</v>
      </c>
      <c r="E65" s="1" t="n">
        <v>46291</v>
      </c>
      <c r="F65" t="inlineStr">
        <is>
          <t>JÖNKÖPINGS LÄN</t>
        </is>
      </c>
      <c r="G65" t="inlineStr">
        <is>
          <t>TRANÅS</t>
        </is>
      </c>
      <c r="I65" t="n">
        <v>12.5</v>
      </c>
      <c r="J65" t="n">
        <v>0</v>
      </c>
      <c r="K65" t="n">
        <v>0</v>
      </c>
      <c r="L65" t="n">
        <v>0</v>
      </c>
      <c r="M65" t="n">
        <v>0</v>
      </c>
      <c r="N65" t="n">
        <v>0</v>
      </c>
      <c r="O65" t="n">
        <v>0</v>
      </c>
      <c r="P65" t="n">
        <v>0</v>
      </c>
      <c r="Q65" t="n">
        <v>0</v>
      </c>
      <c r="R65" t="n">
        <v>0</v>
      </c>
      <c r="S65" t="n">
        <v>0</v>
      </c>
      <c r="T65" t="n">
        <v>0</v>
      </c>
      <c r="U65" t="n">
        <v>0</v>
      </c>
      <c r="V65" s="2" t="inlineStr"/>
    </row>
    <row r="66" ht="15" customHeight="1">
      <c r="A66" t="inlineStr">
        <is>
          <t>A 4563-2024</t>
        </is>
      </c>
      <c r="B66" t="inlineStr">
        <is>
          <t>avverkningsanmälan</t>
        </is>
      </c>
      <c r="C66" t="inlineStr">
        <is>
          <t>Föryngringsavverkning</t>
        </is>
      </c>
      <c r="D66" s="1" t="n">
        <v>45327</v>
      </c>
      <c r="E66" s="1" t="n">
        <v>46291</v>
      </c>
      <c r="F66" t="inlineStr">
        <is>
          <t>JÖNKÖPINGS LÄN</t>
        </is>
      </c>
      <c r="G66" t="inlineStr">
        <is>
          <t>TRANÅS</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36215-2022</t>
        </is>
      </c>
      <c r="B67" t="inlineStr">
        <is>
          <t>avverkningsanmälan</t>
        </is>
      </c>
      <c r="C67" t="inlineStr">
        <is>
          <t>Föryngringsavverkning</t>
        </is>
      </c>
      <c r="D67" s="1" t="n">
        <v>44803</v>
      </c>
      <c r="E67" s="1" t="n">
        <v>46291</v>
      </c>
      <c r="F67" t="inlineStr">
        <is>
          <t>JÖNKÖPINGS LÄN</t>
        </is>
      </c>
      <c r="G67" t="inlineStr">
        <is>
          <t>TRANÅS</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54791-2023</t>
        </is>
      </c>
      <c r="B68" t="inlineStr">
        <is>
          <t>avverkningsanmälan</t>
        </is>
      </c>
      <c r="C68" t="inlineStr">
        <is>
          <t>Föryngringsavverkning</t>
        </is>
      </c>
      <c r="D68" s="1" t="n">
        <v>45229</v>
      </c>
      <c r="E68" s="1" t="n">
        <v>46291</v>
      </c>
      <c r="F68" t="inlineStr">
        <is>
          <t>JÖNKÖPINGS LÄN</t>
        </is>
      </c>
      <c r="G68" t="inlineStr">
        <is>
          <t>TRANÅS</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59017-2021</t>
        </is>
      </c>
      <c r="B69" t="inlineStr">
        <is>
          <t>avverkningsanmälan</t>
        </is>
      </c>
      <c r="C69" t="inlineStr">
        <is>
          <t>Avverkning för annat ändamål</t>
        </is>
      </c>
      <c r="D69" s="1" t="n">
        <v>44489</v>
      </c>
      <c r="E69" s="1" t="n">
        <v>46291</v>
      </c>
      <c r="F69" t="inlineStr">
        <is>
          <t>JÖNKÖPINGS LÄN</t>
        </is>
      </c>
      <c r="G69" t="inlineStr">
        <is>
          <t>TRANÅS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54703-2022</t>
        </is>
      </c>
      <c r="B70" t="inlineStr">
        <is>
          <t>avverkningsanmälan</t>
        </is>
      </c>
      <c r="C70" t="inlineStr">
        <is>
          <t>Föryngringsavverkning</t>
        </is>
      </c>
      <c r="D70" s="1" t="n">
        <v>44881</v>
      </c>
      <c r="E70" s="1" t="n">
        <v>46291</v>
      </c>
      <c r="F70" t="inlineStr">
        <is>
          <t>JÖNKÖPINGS LÄN</t>
        </is>
      </c>
      <c r="G70" t="inlineStr">
        <is>
          <t>TRANÅS</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57038-2021</t>
        </is>
      </c>
      <c r="B71" t="inlineStr">
        <is>
          <t>avverkningsanmälan</t>
        </is>
      </c>
      <c r="C71" t="inlineStr">
        <is>
          <t>Föryngringsavverkning</t>
        </is>
      </c>
      <c r="D71" s="1" t="n">
        <v>44482</v>
      </c>
      <c r="E71" s="1" t="n">
        <v>46291</v>
      </c>
      <c r="F71" t="inlineStr">
        <is>
          <t>JÖNKÖPINGS LÄN</t>
        </is>
      </c>
      <c r="G71" t="inlineStr">
        <is>
          <t>TRANÅS</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24967-2023</t>
        </is>
      </c>
      <c r="B72" t="inlineStr">
        <is>
          <t>avverkningsanmälan</t>
        </is>
      </c>
      <c r="C72" t="inlineStr">
        <is>
          <t>Föryngringsavverkning</t>
        </is>
      </c>
      <c r="D72" s="1" t="n">
        <v>45085</v>
      </c>
      <c r="E72" s="1" t="n">
        <v>46291</v>
      </c>
      <c r="F72" t="inlineStr">
        <is>
          <t>JÖNKÖPINGS LÄN</t>
        </is>
      </c>
      <c r="G72" t="inlineStr">
        <is>
          <t>TRANÅS</t>
        </is>
      </c>
      <c r="H72" t="inlineStr">
        <is>
          <t>Kommuner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17149-2024</t>
        </is>
      </c>
      <c r="B73" t="inlineStr">
        <is>
          <t>avverkningsanmälan</t>
        </is>
      </c>
      <c r="C73" t="inlineStr">
        <is>
          <t>Föryngringsavverkning</t>
        </is>
      </c>
      <c r="D73" s="1" t="n">
        <v>45412</v>
      </c>
      <c r="E73" s="1" t="n">
        <v>46291</v>
      </c>
      <c r="F73" t="inlineStr">
        <is>
          <t>JÖNKÖPINGS LÄN</t>
        </is>
      </c>
      <c r="G73" t="inlineStr">
        <is>
          <t>TRANÅS</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17963-2024</t>
        </is>
      </c>
      <c r="B74" t="inlineStr">
        <is>
          <t>avverkningsanmälan</t>
        </is>
      </c>
      <c r="C74" t="inlineStr">
        <is>
          <t>Avverkning för annat ändamål</t>
        </is>
      </c>
      <c r="D74" s="1" t="n">
        <v>45419</v>
      </c>
      <c r="E74" s="1" t="n">
        <v>46291</v>
      </c>
      <c r="F74" t="inlineStr">
        <is>
          <t>JÖNKÖPINGS LÄN</t>
        </is>
      </c>
      <c r="G74" t="inlineStr">
        <is>
          <t>TRANÅS</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40212-2022</t>
        </is>
      </c>
      <c r="B75" t="inlineStr">
        <is>
          <t>avverkningsanmälan</t>
        </is>
      </c>
      <c r="C75" t="inlineStr">
        <is>
          <t>Föryngringsavverkning</t>
        </is>
      </c>
      <c r="D75" s="1" t="n">
        <v>44820</v>
      </c>
      <c r="E75" s="1" t="n">
        <v>46291</v>
      </c>
      <c r="F75" t="inlineStr">
        <is>
          <t>JÖNKÖPINGS LÄN</t>
        </is>
      </c>
      <c r="G75" t="inlineStr">
        <is>
          <t>TRANÅS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18173-2023</t>
        </is>
      </c>
      <c r="B76" t="inlineStr">
        <is>
          <t>avverkningsanmälan</t>
        </is>
      </c>
      <c r="C76" t="inlineStr">
        <is>
          <t>Föryngringsavverkning</t>
        </is>
      </c>
      <c r="D76" s="1" t="n">
        <v>45040</v>
      </c>
      <c r="E76" s="1" t="n">
        <v>46291</v>
      </c>
      <c r="F76" t="inlineStr">
        <is>
          <t>JÖNKÖPINGS LÄN</t>
        </is>
      </c>
      <c r="G76" t="inlineStr">
        <is>
          <t>TRANÅS</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18073-2024</t>
        </is>
      </c>
      <c r="B77" t="inlineStr">
        <is>
          <t>avverkningsanmälan</t>
        </is>
      </c>
      <c r="C77" t="inlineStr">
        <is>
          <t>Avverkning för annat ändamål</t>
        </is>
      </c>
      <c r="D77" s="1" t="n">
        <v>45420</v>
      </c>
      <c r="E77" s="1" t="n">
        <v>46291</v>
      </c>
      <c r="F77" t="inlineStr">
        <is>
          <t>JÖNKÖPINGS LÄN</t>
        </is>
      </c>
      <c r="G77" t="inlineStr">
        <is>
          <t>TRANÅS</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30152-2023</t>
        </is>
      </c>
      <c r="B78" t="inlineStr">
        <is>
          <t>avverkningsanmälan</t>
        </is>
      </c>
      <c r="C78" t="inlineStr">
        <is>
          <t>Föryngringsavverkning</t>
        </is>
      </c>
      <c r="D78" s="1" t="n">
        <v>45110</v>
      </c>
      <c r="E78" s="1" t="n">
        <v>46291</v>
      </c>
      <c r="F78" t="inlineStr">
        <is>
          <t>JÖNKÖPINGS LÄN</t>
        </is>
      </c>
      <c r="G78" t="inlineStr">
        <is>
          <t>TRANÅS</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54750-2022</t>
        </is>
      </c>
      <c r="B79" t="inlineStr">
        <is>
          <t>avverkningsanmälan</t>
        </is>
      </c>
      <c r="C79" t="inlineStr">
        <is>
          <t>Föryngringsavverkning</t>
        </is>
      </c>
      <c r="D79" s="1" t="n">
        <v>44881</v>
      </c>
      <c r="E79" s="1" t="n">
        <v>46291</v>
      </c>
      <c r="F79" t="inlineStr">
        <is>
          <t>JÖNKÖPINGS LÄN</t>
        </is>
      </c>
      <c r="G79" t="inlineStr">
        <is>
          <t>TRANÅS</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60359-2023</t>
        </is>
      </c>
      <c r="B80" t="inlineStr">
        <is>
          <t>avverkningsanmälan</t>
        </is>
      </c>
      <c r="C80" t="inlineStr">
        <is>
          <t>Föryngringsavverkning</t>
        </is>
      </c>
      <c r="D80" s="1" t="n">
        <v>45259</v>
      </c>
      <c r="E80" s="1" t="n">
        <v>46291</v>
      </c>
      <c r="F80" t="inlineStr">
        <is>
          <t>JÖNKÖPINGS LÄN</t>
        </is>
      </c>
      <c r="G80" t="inlineStr">
        <is>
          <t>TRANÅS</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4702-2023</t>
        </is>
      </c>
      <c r="B81" t="inlineStr">
        <is>
          <t>avverkningsanmälan</t>
        </is>
      </c>
      <c r="C81" t="inlineStr">
        <is>
          <t>Föryngringsavverkning</t>
        </is>
      </c>
      <c r="D81" s="1" t="n">
        <v>44953</v>
      </c>
      <c r="E81" s="1" t="n">
        <v>46291</v>
      </c>
      <c r="F81" t="inlineStr">
        <is>
          <t>JÖNKÖPINGS LÄN</t>
        </is>
      </c>
      <c r="G81" t="inlineStr">
        <is>
          <t>TRANÅS</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49958-2022</t>
        </is>
      </c>
      <c r="B82" t="inlineStr">
        <is>
          <t>avverkningsanmälan</t>
        </is>
      </c>
      <c r="C82" t="inlineStr">
        <is>
          <t>Föryngringsavverkning</t>
        </is>
      </c>
      <c r="D82" s="1" t="n">
        <v>44865</v>
      </c>
      <c r="E82" s="1" t="n">
        <v>46291</v>
      </c>
      <c r="F82" t="inlineStr">
        <is>
          <t>JÖNKÖPINGS LÄN</t>
        </is>
      </c>
      <c r="G82" t="inlineStr">
        <is>
          <t>TRANÅS</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17077-2025</t>
        </is>
      </c>
      <c r="B83" t="inlineStr">
        <is>
          <t>avverkningsanmälan</t>
        </is>
      </c>
      <c r="C83" t="inlineStr">
        <is>
          <t>Föryngringsavverkning</t>
        </is>
      </c>
      <c r="D83" s="1" t="n">
        <v>45754</v>
      </c>
      <c r="E83" s="1" t="n">
        <v>46291</v>
      </c>
      <c r="F83" t="inlineStr">
        <is>
          <t>JÖNKÖPINGS LÄN</t>
        </is>
      </c>
      <c r="G83" t="inlineStr">
        <is>
          <t>TRANÅS</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70037-2021</t>
        </is>
      </c>
      <c r="B84" t="inlineStr">
        <is>
          <t>avverkningsanmälan</t>
        </is>
      </c>
      <c r="C84" t="inlineStr">
        <is>
          <t>Föryngringsavverkning</t>
        </is>
      </c>
      <c r="D84" s="1" t="n">
        <v>44533</v>
      </c>
      <c r="E84" s="1" t="n">
        <v>46291</v>
      </c>
      <c r="F84" t="inlineStr">
        <is>
          <t>JÖNKÖPINGS LÄN</t>
        </is>
      </c>
      <c r="G84" t="inlineStr">
        <is>
          <t>TRANÅS</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7950-2023</t>
        </is>
      </c>
      <c r="B85" t="inlineStr">
        <is>
          <t>avverkningsanmälan</t>
        </is>
      </c>
      <c r="C85" t="inlineStr">
        <is>
          <t>Föryngringsavverkning</t>
        </is>
      </c>
      <c r="D85" s="1" t="n">
        <v>44973</v>
      </c>
      <c r="E85" s="1" t="n">
        <v>46291</v>
      </c>
      <c r="F85" t="inlineStr">
        <is>
          <t>JÖNKÖPINGS LÄN</t>
        </is>
      </c>
      <c r="G85" t="inlineStr">
        <is>
          <t>TRANÅS</t>
        </is>
      </c>
      <c r="H85" t="inlineStr">
        <is>
          <t>Kommuner</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37912-2024</t>
        </is>
      </c>
      <c r="B86" t="inlineStr">
        <is>
          <t>avverkningsanmälan</t>
        </is>
      </c>
      <c r="C86" t="inlineStr">
        <is>
          <t>Avverkning för annat ändamål</t>
        </is>
      </c>
      <c r="D86" s="1" t="n">
        <v>45544</v>
      </c>
      <c r="E86" s="1" t="n">
        <v>46291</v>
      </c>
      <c r="F86" t="inlineStr">
        <is>
          <t>JÖNKÖPINGS LÄN</t>
        </is>
      </c>
      <c r="G86" t="inlineStr">
        <is>
          <t>TRANÅS</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13581-2025</t>
        </is>
      </c>
      <c r="B87" t="inlineStr">
        <is>
          <t>avverkningsanmälan</t>
        </is>
      </c>
      <c r="C87" t="inlineStr">
        <is>
          <t>Föryngringsavverkning</t>
        </is>
      </c>
      <c r="D87" s="1" t="n">
        <v>45736</v>
      </c>
      <c r="E87" s="1" t="n">
        <v>46291</v>
      </c>
      <c r="F87" t="inlineStr">
        <is>
          <t>JÖNKÖPINGS LÄN</t>
        </is>
      </c>
      <c r="G87" t="inlineStr">
        <is>
          <t>TRANÅS</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5213-2024</t>
        </is>
      </c>
      <c r="B88" t="inlineStr">
        <is>
          <t>avverkningsanmälan</t>
        </is>
      </c>
      <c r="C88" t="inlineStr">
        <is>
          <t>Föryngringsavverkning</t>
        </is>
      </c>
      <c r="D88" s="1" t="n">
        <v>45330</v>
      </c>
      <c r="E88" s="1" t="n">
        <v>46291</v>
      </c>
      <c r="F88" t="inlineStr">
        <is>
          <t>JÖNKÖPINGS LÄN</t>
        </is>
      </c>
      <c r="G88" t="inlineStr">
        <is>
          <t>TRANÅS</t>
        </is>
      </c>
      <c r="H88" t="inlineStr">
        <is>
          <t>Allmännings- och besparingsskogar</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22671-2025</t>
        </is>
      </c>
      <c r="B89" t="inlineStr">
        <is>
          <t>avverkningsanmälan</t>
        </is>
      </c>
      <c r="C89" t="inlineStr">
        <is>
          <t>Föryngringsavverkning</t>
        </is>
      </c>
      <c r="D89" s="1" t="n">
        <v>45789</v>
      </c>
      <c r="E89" s="1" t="n">
        <v>46291</v>
      </c>
      <c r="F89" t="inlineStr">
        <is>
          <t>JÖNKÖPINGS LÄN</t>
        </is>
      </c>
      <c r="G89" t="inlineStr">
        <is>
          <t>TRANÅS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39047-2025</t>
        </is>
      </c>
      <c r="B90" t="inlineStr">
        <is>
          <t>avverkningsanmälan</t>
        </is>
      </c>
      <c r="C90" t="inlineStr">
        <is>
          <t>Föryngringsavverkning</t>
        </is>
      </c>
      <c r="D90" s="1" t="n">
        <v>45888</v>
      </c>
      <c r="E90" s="1" t="n">
        <v>46291</v>
      </c>
      <c r="F90" t="inlineStr">
        <is>
          <t>JÖNKÖPINGS LÄN</t>
        </is>
      </c>
      <c r="G90" t="inlineStr">
        <is>
          <t>TRANÅS</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39043-2025</t>
        </is>
      </c>
      <c r="B91" t="inlineStr">
        <is>
          <t>avverkningsanmälan</t>
        </is>
      </c>
      <c r="C91" t="inlineStr">
        <is>
          <t>Avverkning för annat ändamål</t>
        </is>
      </c>
      <c r="D91" s="1" t="n">
        <v>45888</v>
      </c>
      <c r="E91" s="1" t="n">
        <v>46291</v>
      </c>
      <c r="F91" t="inlineStr">
        <is>
          <t>JÖNKÖPINGS LÄN</t>
        </is>
      </c>
      <c r="G91" t="inlineStr">
        <is>
          <t>TRANÅS</t>
        </is>
      </c>
      <c r="I91" t="n">
        <v>4.6</v>
      </c>
      <c r="J91" t="n">
        <v>0</v>
      </c>
      <c r="K91" t="n">
        <v>0</v>
      </c>
      <c r="L91" t="n">
        <v>0</v>
      </c>
      <c r="M91" t="n">
        <v>0</v>
      </c>
      <c r="N91" t="n">
        <v>0</v>
      </c>
      <c r="O91" t="n">
        <v>0</v>
      </c>
      <c r="P91" t="n">
        <v>0</v>
      </c>
      <c r="Q91" t="n">
        <v>0</v>
      </c>
      <c r="R91" t="n">
        <v>0</v>
      </c>
      <c r="S91" t="n">
        <v>0</v>
      </c>
      <c r="T91" t="n">
        <v>0</v>
      </c>
      <c r="U91" t="n">
        <v>0</v>
      </c>
      <c r="V91" s="2" t="inlineStr"/>
    </row>
    <row r="92" ht="15" customHeight="1">
      <c r="A92" t="inlineStr">
        <is>
          <t>A 37221-2024</t>
        </is>
      </c>
      <c r="B92" t="inlineStr">
        <is>
          <t>avverkningsanmälan</t>
        </is>
      </c>
      <c r="C92" t="inlineStr">
        <is>
          <t>Föryngringsavverkning</t>
        </is>
      </c>
      <c r="D92" s="1" t="n">
        <v>45539</v>
      </c>
      <c r="E92" s="1" t="n">
        <v>46291</v>
      </c>
      <c r="F92" t="inlineStr">
        <is>
          <t>JÖNKÖPINGS LÄN</t>
        </is>
      </c>
      <c r="G92" t="inlineStr">
        <is>
          <t>TRANÅS</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39593-2025</t>
        </is>
      </c>
      <c r="B93" t="inlineStr">
        <is>
          <t>avverkningsanmälan</t>
        </is>
      </c>
      <c r="C93" t="inlineStr">
        <is>
          <t>Föryngringsavverkning</t>
        </is>
      </c>
      <c r="D93" s="1" t="n">
        <v>45890</v>
      </c>
      <c r="E93" s="1" t="n">
        <v>46291</v>
      </c>
      <c r="F93" t="inlineStr">
        <is>
          <t>JÖNKÖPINGS LÄN</t>
        </is>
      </c>
      <c r="G93" t="inlineStr">
        <is>
          <t>TRANÅS</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2476-2026</t>
        </is>
      </c>
      <c r="B94" t="inlineStr">
        <is>
          <t>avverkningsanmälan</t>
        </is>
      </c>
      <c r="C94" t="inlineStr">
        <is>
          <t>Föryngringsavverkning</t>
        </is>
      </c>
      <c r="D94" s="1" t="n">
        <v>46037</v>
      </c>
      <c r="E94" s="1" t="n">
        <v>46291</v>
      </c>
      <c r="F94" t="inlineStr">
        <is>
          <t>JÖNKÖPINGS LÄN</t>
        </is>
      </c>
      <c r="G94" t="inlineStr">
        <is>
          <t>TRANÅS</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22404-2023</t>
        </is>
      </c>
      <c r="B95" t="inlineStr">
        <is>
          <t>avverkningsanmälan</t>
        </is>
      </c>
      <c r="C95" t="inlineStr">
        <is>
          <t>Föryngringsavverkning</t>
        </is>
      </c>
      <c r="D95" s="1" t="n">
        <v>45070</v>
      </c>
      <c r="E95" s="1" t="n">
        <v>46291</v>
      </c>
      <c r="F95" t="inlineStr">
        <is>
          <t>JÖNKÖPINGS LÄN</t>
        </is>
      </c>
      <c r="G95" t="inlineStr">
        <is>
          <t>TRANÅS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2449-2026</t>
        </is>
      </c>
      <c r="B96" t="inlineStr">
        <is>
          <t>avverkningsanmälan</t>
        </is>
      </c>
      <c r="C96" t="inlineStr">
        <is>
          <t>Föryngringsavverkning</t>
        </is>
      </c>
      <c r="D96" s="1" t="n">
        <v>46037</v>
      </c>
      <c r="E96" s="1" t="n">
        <v>46291</v>
      </c>
      <c r="F96" t="inlineStr">
        <is>
          <t>JÖNKÖPINGS LÄN</t>
        </is>
      </c>
      <c r="G96" t="inlineStr">
        <is>
          <t>TRANÅS</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3458-2026</t>
        </is>
      </c>
      <c r="B97" t="inlineStr">
        <is>
          <t>avverkningsanmälan</t>
        </is>
      </c>
      <c r="C97" t="inlineStr">
        <is>
          <t>Avverkning för annat ändamål</t>
        </is>
      </c>
      <c r="D97" s="1" t="n">
        <v>46042</v>
      </c>
      <c r="E97" s="1" t="n">
        <v>46291</v>
      </c>
      <c r="F97" t="inlineStr">
        <is>
          <t>JÖNKÖPINGS LÄN</t>
        </is>
      </c>
      <c r="G97" t="inlineStr">
        <is>
          <t>TRANÅS</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42885-2025</t>
        </is>
      </c>
      <c r="B98" t="inlineStr">
        <is>
          <t>avverkningsanmälan</t>
        </is>
      </c>
      <c r="C98" t="inlineStr">
        <is>
          <t>Föryngringsavverkning</t>
        </is>
      </c>
      <c r="D98" s="1" t="n">
        <v>45908</v>
      </c>
      <c r="E98" s="1" t="n">
        <v>46291</v>
      </c>
      <c r="F98" t="inlineStr">
        <is>
          <t>JÖNKÖPINGS LÄN</t>
        </is>
      </c>
      <c r="G98" t="inlineStr">
        <is>
          <t>TRANÅS</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6396-2026</t>
        </is>
      </c>
      <c r="B99" t="inlineStr">
        <is>
          <t>avverkningsanmälan</t>
        </is>
      </c>
      <c r="C99" t="inlineStr">
        <is>
          <t>Föryngringsavverkning</t>
        </is>
      </c>
      <c r="D99" s="1" t="n">
        <v>46055</v>
      </c>
      <c r="E99" s="1" t="n">
        <v>46291</v>
      </c>
      <c r="F99" t="inlineStr">
        <is>
          <t>JÖNKÖPINGS LÄN</t>
        </is>
      </c>
      <c r="G99" t="inlineStr">
        <is>
          <t>TRANÅS</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6110-2026</t>
        </is>
      </c>
      <c r="B100" t="inlineStr">
        <is>
          <t>avverkningsanmälan</t>
        </is>
      </c>
      <c r="C100" t="inlineStr">
        <is>
          <t>Föryngringsavverkning</t>
        </is>
      </c>
      <c r="D100" s="1" t="n">
        <v>46053</v>
      </c>
      <c r="E100" s="1" t="n">
        <v>46291</v>
      </c>
      <c r="F100" t="inlineStr">
        <is>
          <t>JÖNKÖPINGS LÄN</t>
        </is>
      </c>
      <c r="G100" t="inlineStr">
        <is>
          <t>TRANÅS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644-2023</t>
        </is>
      </c>
      <c r="B101" t="inlineStr">
        <is>
          <t>avverkningsanmälan</t>
        </is>
      </c>
      <c r="C101" t="inlineStr">
        <is>
          <t>Föryngringsavverkning</t>
        </is>
      </c>
      <c r="D101" s="1" t="n">
        <v>44930</v>
      </c>
      <c r="E101" s="1" t="n">
        <v>46291</v>
      </c>
      <c r="F101" t="inlineStr">
        <is>
          <t>JÖNKÖPINGS LÄN</t>
        </is>
      </c>
      <c r="G101" t="inlineStr">
        <is>
          <t>TRANÅS</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5066-2025</t>
        </is>
      </c>
      <c r="B102" t="inlineStr">
        <is>
          <t>avverkningsanmälan</t>
        </is>
      </c>
      <c r="C102" t="inlineStr">
        <is>
          <t>Föryngringsavverkning</t>
        </is>
      </c>
      <c r="D102" s="1" t="n">
        <v>45691</v>
      </c>
      <c r="E102" s="1" t="n">
        <v>46291</v>
      </c>
      <c r="F102" t="inlineStr">
        <is>
          <t>JÖNKÖPINGS LÄN</t>
        </is>
      </c>
      <c r="G102" t="inlineStr">
        <is>
          <t>TRANÅS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44235-2025</t>
        </is>
      </c>
      <c r="B103" t="inlineStr">
        <is>
          <t>avverkningsanmälan</t>
        </is>
      </c>
      <c r="C103" t="inlineStr">
        <is>
          <t>Föryngringsavverkning</t>
        </is>
      </c>
      <c r="D103" s="1" t="n">
        <v>45915</v>
      </c>
      <c r="E103" s="1" t="n">
        <v>46291</v>
      </c>
      <c r="F103" t="inlineStr">
        <is>
          <t>JÖNKÖPINGS LÄN</t>
        </is>
      </c>
      <c r="G103" t="inlineStr">
        <is>
          <t>TRANÅS</t>
        </is>
      </c>
      <c r="I103" t="n">
        <v>2.3</v>
      </c>
      <c r="J103" t="n">
        <v>0</v>
      </c>
      <c r="K103" t="n">
        <v>0</v>
      </c>
      <c r="L103" t="n">
        <v>0</v>
      </c>
      <c r="M103" t="n">
        <v>0</v>
      </c>
      <c r="N103" t="n">
        <v>0</v>
      </c>
      <c r="O103" t="n">
        <v>0</v>
      </c>
      <c r="P103" t="n">
        <v>0</v>
      </c>
      <c r="Q103" t="n">
        <v>0</v>
      </c>
      <c r="R103" t="n">
        <v>0</v>
      </c>
      <c r="S103" t="n">
        <v>0</v>
      </c>
      <c r="T103" t="n">
        <v>0</v>
      </c>
      <c r="U103" t="n">
        <v>0</v>
      </c>
      <c r="V103" s="2" t="inlineStr"/>
      <c r="X103">
        <f>HYPERLINK("https://klasma.github.io/Logging_0687/kartor/A 44235-2025 karta.png", "A 44235-2025")</f>
        <v/>
      </c>
      <c r="Y103">
        <f>HYPERLINK("https://klasma.github.io/Logging_0687/kartor_geotiff/A 44235-2025 georefererad karta.tif", "A 44235-2025")</f>
        <v/>
      </c>
      <c r="AA103">
        <f>HYPERLINK("https://klasma.github.io/Logging_0687/klagomål/A 44235-2025 FSC-klagomål.docx", "A 44235-2025")</f>
        <v/>
      </c>
      <c r="AB103">
        <f>HYPERLINK("https://klasma.github.io/Logging_0687/klagomålsmail/A 44235-2025 FSC-klagomål mail.docx", "A 44235-2025")</f>
        <v/>
      </c>
      <c r="AC103">
        <f>HYPERLINK("https://klasma.github.io/Logging_0687/tillsyn/A 44235-2025 tillsynsbegäran.docx", "A 44235-2025")</f>
        <v/>
      </c>
      <c r="AD103">
        <f>HYPERLINK("https://klasma.github.io/Logging_0687/tillsynsmail/A 44235-2025 tillsynsbegäran mail.docx", "A 44235-2025")</f>
        <v/>
      </c>
    </row>
    <row r="104" ht="15" customHeight="1">
      <c r="A104" t="inlineStr">
        <is>
          <t>A 18084-2024</t>
        </is>
      </c>
      <c r="B104" t="inlineStr">
        <is>
          <t>avverkningsanmälan</t>
        </is>
      </c>
      <c r="C104" t="inlineStr">
        <is>
          <t>Föryngringsavverkning</t>
        </is>
      </c>
      <c r="D104" s="1" t="n">
        <v>45420</v>
      </c>
      <c r="E104" s="1" t="n">
        <v>46291</v>
      </c>
      <c r="F104" t="inlineStr">
        <is>
          <t>JÖNKÖPINGS LÄN</t>
        </is>
      </c>
      <c r="G104" t="inlineStr">
        <is>
          <t>TRANÅS</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8313-2026</t>
        </is>
      </c>
      <c r="B105" t="inlineStr">
        <is>
          <t>avverkningsanmälan</t>
        </is>
      </c>
      <c r="C105" t="inlineStr">
        <is>
          <t>Föryngringsavverkning</t>
        </is>
      </c>
      <c r="D105" s="1" t="n">
        <v>46064</v>
      </c>
      <c r="E105" s="1" t="n">
        <v>46291</v>
      </c>
      <c r="F105" t="inlineStr">
        <is>
          <t>JÖNKÖPINGS LÄN</t>
        </is>
      </c>
      <c r="G105" t="inlineStr">
        <is>
          <t>TRANÅS</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44698-2025</t>
        </is>
      </c>
      <c r="B106" t="inlineStr">
        <is>
          <t>avverkningsanmälan</t>
        </is>
      </c>
      <c r="C106" t="inlineStr">
        <is>
          <t>Föryngringsavverkning</t>
        </is>
      </c>
      <c r="D106" s="1" t="n">
        <v>45917</v>
      </c>
      <c r="E106" s="1" t="n">
        <v>46291</v>
      </c>
      <c r="F106" t="inlineStr">
        <is>
          <t>JÖNKÖPINGS LÄN</t>
        </is>
      </c>
      <c r="G106" t="inlineStr">
        <is>
          <t>TRANÅS</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8442-2026</t>
        </is>
      </c>
      <c r="B107" t="inlineStr">
        <is>
          <t>avverkningsanmälan</t>
        </is>
      </c>
      <c r="C107" t="inlineStr">
        <is>
          <t>Föryngringsavverkning</t>
        </is>
      </c>
      <c r="D107" s="1" t="n">
        <v>46065</v>
      </c>
      <c r="E107" s="1" t="n">
        <v>46291</v>
      </c>
      <c r="F107" t="inlineStr">
        <is>
          <t>JÖNKÖPINGS LÄN</t>
        </is>
      </c>
      <c r="G107" t="inlineStr">
        <is>
          <t>TRANÅS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8418-2026</t>
        </is>
      </c>
      <c r="B108" t="inlineStr">
        <is>
          <t>avverkningsanmälan</t>
        </is>
      </c>
      <c r="C108" t="inlineStr">
        <is>
          <t>Föryngringsavverkning</t>
        </is>
      </c>
      <c r="D108" s="1" t="n">
        <v>46065</v>
      </c>
      <c r="E108" s="1" t="n">
        <v>46291</v>
      </c>
      <c r="F108" t="inlineStr">
        <is>
          <t>JÖNKÖPINGS LÄN</t>
        </is>
      </c>
      <c r="G108" t="inlineStr">
        <is>
          <t>TRANÅS</t>
        </is>
      </c>
      <c r="H108" t="inlineStr">
        <is>
          <t>Kyrkan</t>
        </is>
      </c>
      <c r="I108" t="n">
        <v>8.4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8434-2026</t>
        </is>
      </c>
      <c r="B109" t="inlineStr">
        <is>
          <t>avverkningsanmälan</t>
        </is>
      </c>
      <c r="C109" t="inlineStr">
        <is>
          <t>Föryngringsavverkning</t>
        </is>
      </c>
      <c r="D109" s="1" t="n">
        <v>46065</v>
      </c>
      <c r="E109" s="1" t="n">
        <v>46291</v>
      </c>
      <c r="F109" t="inlineStr">
        <is>
          <t>JÖNKÖPINGS LÄN</t>
        </is>
      </c>
      <c r="G109" t="inlineStr">
        <is>
          <t>TRANÅS</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8820-2026</t>
        </is>
      </c>
      <c r="B110" t="inlineStr">
        <is>
          <t>avverkningsanmälan</t>
        </is>
      </c>
      <c r="C110" t="inlineStr">
        <is>
          <t>Avverkning för annat ändamål</t>
        </is>
      </c>
      <c r="D110" s="1" t="n">
        <v>46066</v>
      </c>
      <c r="E110" s="1" t="n">
        <v>46291</v>
      </c>
      <c r="F110" t="inlineStr">
        <is>
          <t>JÖNKÖPINGS LÄN</t>
        </is>
      </c>
      <c r="G110" t="inlineStr">
        <is>
          <t>TRANÅS</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8446-2026</t>
        </is>
      </c>
      <c r="B111" t="inlineStr">
        <is>
          <t>avverkningsanmälan</t>
        </is>
      </c>
      <c r="C111" t="inlineStr">
        <is>
          <t>Föryngringsavverkning</t>
        </is>
      </c>
      <c r="D111" s="1" t="n">
        <v>46065</v>
      </c>
      <c r="E111" s="1" t="n">
        <v>46291</v>
      </c>
      <c r="F111" t="inlineStr">
        <is>
          <t>JÖNKÖPINGS LÄN</t>
        </is>
      </c>
      <c r="G111" t="inlineStr">
        <is>
          <t>TRANÅS</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46075-2025</t>
        </is>
      </c>
      <c r="B112" t="inlineStr">
        <is>
          <t>avverkningsanmälan</t>
        </is>
      </c>
      <c r="C112" t="inlineStr">
        <is>
          <t>Föryngringsavverkning</t>
        </is>
      </c>
      <c r="D112" s="1" t="n">
        <v>45924</v>
      </c>
      <c r="E112" s="1" t="n">
        <v>46291</v>
      </c>
      <c r="F112" t="inlineStr">
        <is>
          <t>JÖNKÖPINGS LÄN</t>
        </is>
      </c>
      <c r="G112" t="inlineStr">
        <is>
          <t>TRANÅS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46337-2025</t>
        </is>
      </c>
      <c r="B113" t="inlineStr">
        <is>
          <t>avverkningsanmälan</t>
        </is>
      </c>
      <c r="C113" t="inlineStr">
        <is>
          <t>Föryngringsavverkning</t>
        </is>
      </c>
      <c r="D113" s="1" t="n">
        <v>45925</v>
      </c>
      <c r="E113" s="1" t="n">
        <v>46291</v>
      </c>
      <c r="F113" t="inlineStr">
        <is>
          <t>JÖNKÖPINGS LÄN</t>
        </is>
      </c>
      <c r="G113" t="inlineStr">
        <is>
          <t>TRANÅS</t>
        </is>
      </c>
      <c r="H113" t="inlineStr">
        <is>
          <t>Allmännings- och besparingsskogar</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46333-2025</t>
        </is>
      </c>
      <c r="B114" t="inlineStr">
        <is>
          <t>avverkningsanmälan</t>
        </is>
      </c>
      <c r="C114" t="inlineStr">
        <is>
          <t>Föryngringsavverkning</t>
        </is>
      </c>
      <c r="D114" s="1" t="n">
        <v>45925</v>
      </c>
      <c r="E114" s="1" t="n">
        <v>46291</v>
      </c>
      <c r="F114" t="inlineStr">
        <is>
          <t>JÖNKÖPINGS LÄN</t>
        </is>
      </c>
      <c r="G114" t="inlineStr">
        <is>
          <t>TRANÅS</t>
        </is>
      </c>
      <c r="H114" t="inlineStr">
        <is>
          <t>Allmännings- och besparingsskogar</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46330-2025</t>
        </is>
      </c>
      <c r="B115" t="inlineStr">
        <is>
          <t>avverkningsanmälan</t>
        </is>
      </c>
      <c r="C115" t="inlineStr">
        <is>
          <t>Föryngringsavverkning</t>
        </is>
      </c>
      <c r="D115" s="1" t="n">
        <v>45925</v>
      </c>
      <c r="E115" s="1" t="n">
        <v>46291</v>
      </c>
      <c r="F115" t="inlineStr">
        <is>
          <t>JÖNKÖPINGS LÄN</t>
        </is>
      </c>
      <c r="G115" t="inlineStr">
        <is>
          <t>TRANÅS</t>
        </is>
      </c>
      <c r="H115" t="inlineStr">
        <is>
          <t>Allmännings- och besparingsskogar</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47753-2025</t>
        </is>
      </c>
      <c r="B116" t="inlineStr">
        <is>
          <t>avverkningsanmälan</t>
        </is>
      </c>
      <c r="C116" t="inlineStr">
        <is>
          <t>Föryngringsavverkning</t>
        </is>
      </c>
      <c r="D116" s="1" t="n">
        <v>45931</v>
      </c>
      <c r="E116" s="1" t="n">
        <v>46291</v>
      </c>
      <c r="F116" t="inlineStr">
        <is>
          <t>JÖNKÖPINGS LÄN</t>
        </is>
      </c>
      <c r="G116" t="inlineStr">
        <is>
          <t>TRANÅS</t>
        </is>
      </c>
      <c r="H116" t="inlineStr">
        <is>
          <t>Allmännings- och besparingsskogar</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20414-2025</t>
        </is>
      </c>
      <c r="B117" t="inlineStr">
        <is>
          <t>avverkningsanmälan</t>
        </is>
      </c>
      <c r="C117" t="inlineStr">
        <is>
          <t>Föryngringsavverkning</t>
        </is>
      </c>
      <c r="D117" s="1" t="n">
        <v>45775</v>
      </c>
      <c r="E117" s="1" t="n">
        <v>46291</v>
      </c>
      <c r="F117" t="inlineStr">
        <is>
          <t>JÖNKÖPINGS LÄN</t>
        </is>
      </c>
      <c r="G117" t="inlineStr">
        <is>
          <t>TRANÅS</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37160-2023</t>
        </is>
      </c>
      <c r="B118" t="inlineStr">
        <is>
          <t>avverkningsanmälan</t>
        </is>
      </c>
      <c r="C118" t="inlineStr">
        <is>
          <t>Föryngringsavverkning</t>
        </is>
      </c>
      <c r="D118" s="1" t="n">
        <v>45154</v>
      </c>
      <c r="E118" s="1" t="n">
        <v>46291</v>
      </c>
      <c r="F118" t="inlineStr">
        <is>
          <t>JÖNKÖPINGS LÄN</t>
        </is>
      </c>
      <c r="G118" t="inlineStr">
        <is>
          <t>TRANÅS</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22726-2022</t>
        </is>
      </c>
      <c r="B119" t="inlineStr">
        <is>
          <t>avverkningsanmälan</t>
        </is>
      </c>
      <c r="C119" t="inlineStr">
        <is>
          <t>Föryngringsavverkning</t>
        </is>
      </c>
      <c r="D119" s="1" t="n">
        <v>44714</v>
      </c>
      <c r="E119" s="1" t="n">
        <v>46291</v>
      </c>
      <c r="F119" t="inlineStr">
        <is>
          <t>JÖNKÖPINGS LÄN</t>
        </is>
      </c>
      <c r="G119" t="inlineStr">
        <is>
          <t>TRANÅS</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20558-2023</t>
        </is>
      </c>
      <c r="B120" t="inlineStr">
        <is>
          <t>avverkningsanmälan</t>
        </is>
      </c>
      <c r="C120" t="inlineStr">
        <is>
          <t>Föryngringsavverkning</t>
        </is>
      </c>
      <c r="D120" s="1" t="n">
        <v>45057</v>
      </c>
      <c r="E120" s="1" t="n">
        <v>46291</v>
      </c>
      <c r="F120" t="inlineStr">
        <is>
          <t>JÖNKÖPINGS LÄN</t>
        </is>
      </c>
      <c r="G120" t="inlineStr">
        <is>
          <t>TRANÅS</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49118-2025</t>
        </is>
      </c>
      <c r="B121" t="inlineStr">
        <is>
          <t>avverkningsanmälan</t>
        </is>
      </c>
      <c r="C121" t="inlineStr">
        <is>
          <t>Föryngringsavverkning</t>
        </is>
      </c>
      <c r="D121" s="1" t="n">
        <v>45937</v>
      </c>
      <c r="E121" s="1" t="n">
        <v>46291</v>
      </c>
      <c r="F121" t="inlineStr">
        <is>
          <t>JÖNKÖPINGS LÄN</t>
        </is>
      </c>
      <c r="G121" t="inlineStr">
        <is>
          <t>TRANÅS</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36998-2024</t>
        </is>
      </c>
      <c r="B122" t="inlineStr">
        <is>
          <t>avverkningsanmälan</t>
        </is>
      </c>
      <c r="C122" t="inlineStr">
        <is>
          <t>Avverkning för annat ändamål</t>
        </is>
      </c>
      <c r="D122" s="1" t="n">
        <v>45539</v>
      </c>
      <c r="E122" s="1" t="n">
        <v>46291</v>
      </c>
      <c r="F122" t="inlineStr">
        <is>
          <t>JÖNKÖPINGS LÄN</t>
        </is>
      </c>
      <c r="G122" t="inlineStr">
        <is>
          <t>TRANÅS</t>
        </is>
      </c>
      <c r="I122" t="n">
        <v>5.3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49610-2025</t>
        </is>
      </c>
      <c r="B123" t="inlineStr">
        <is>
          <t>avverkningsanmälan</t>
        </is>
      </c>
      <c r="C123" t="inlineStr">
        <is>
          <t>Avverkning för att bevara och utveckla /försöksver</t>
        </is>
      </c>
      <c r="D123" s="1" t="n">
        <v>45939</v>
      </c>
      <c r="E123" s="1" t="n">
        <v>46291</v>
      </c>
      <c r="F123" t="inlineStr">
        <is>
          <t>JÖNKÖPINGS LÄN</t>
        </is>
      </c>
      <c r="G123" t="inlineStr">
        <is>
          <t>TRANÅS</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46127-2024</t>
        </is>
      </c>
      <c r="B124" t="inlineStr">
        <is>
          <t>avverkningsanmälan</t>
        </is>
      </c>
      <c r="C124" t="inlineStr">
        <is>
          <t>Föryngringsavverkning</t>
        </is>
      </c>
      <c r="D124" s="1" t="n">
        <v>45581</v>
      </c>
      <c r="E124" s="1" t="n">
        <v>46291</v>
      </c>
      <c r="F124" t="inlineStr">
        <is>
          <t>JÖNKÖPINGS LÄN</t>
        </is>
      </c>
      <c r="G124" t="inlineStr">
        <is>
          <t>TRANÅS</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13643-2026</t>
        </is>
      </c>
      <c r="B125" t="inlineStr">
        <is>
          <t>avverkningsanmälan</t>
        </is>
      </c>
      <c r="C125" t="inlineStr">
        <is>
          <t>Avverkning för annat ändamål</t>
        </is>
      </c>
      <c r="D125" s="1" t="n">
        <v>46097</v>
      </c>
      <c r="E125" s="1" t="n">
        <v>46291</v>
      </c>
      <c r="F125" t="inlineStr">
        <is>
          <t>JÖNKÖPINGS LÄN</t>
        </is>
      </c>
      <c r="G125" t="inlineStr">
        <is>
          <t>TRANÅS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14287-2026</t>
        </is>
      </c>
      <c r="B126" t="inlineStr">
        <is>
          <t>avverkningsanmälan</t>
        </is>
      </c>
      <c r="C126" t="inlineStr">
        <is>
          <t>Föryngringsavverkning</t>
        </is>
      </c>
      <c r="D126" s="1" t="n">
        <v>46099</v>
      </c>
      <c r="E126" s="1" t="n">
        <v>46291</v>
      </c>
      <c r="F126" t="inlineStr">
        <is>
          <t>JÖNKÖPINGS LÄN</t>
        </is>
      </c>
      <c r="G126" t="inlineStr">
        <is>
          <t>TRANÅS</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14290-2026</t>
        </is>
      </c>
      <c r="B127" t="inlineStr">
        <is>
          <t>avverkningsanmälan</t>
        </is>
      </c>
      <c r="C127" t="inlineStr">
        <is>
          <t>Föryngringsavverkning</t>
        </is>
      </c>
      <c r="D127" s="1" t="n">
        <v>46099</v>
      </c>
      <c r="E127" s="1" t="n">
        <v>46291</v>
      </c>
      <c r="F127" t="inlineStr">
        <is>
          <t>JÖNKÖPINGS LÄN</t>
        </is>
      </c>
      <c r="G127" t="inlineStr">
        <is>
          <t>TRANÅS</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14278-2026</t>
        </is>
      </c>
      <c r="B128" t="inlineStr">
        <is>
          <t>avverkningsanmälan</t>
        </is>
      </c>
      <c r="C128" t="inlineStr">
        <is>
          <t>Föryngringsavverkning</t>
        </is>
      </c>
      <c r="D128" s="1" t="n">
        <v>46099</v>
      </c>
      <c r="E128" s="1" t="n">
        <v>46291</v>
      </c>
      <c r="F128" t="inlineStr">
        <is>
          <t>JÖNKÖPINGS LÄN</t>
        </is>
      </c>
      <c r="G128" t="inlineStr">
        <is>
          <t>TRANÅS</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50749-2025</t>
        </is>
      </c>
      <c r="B129" t="inlineStr">
        <is>
          <t>avverkningsanmälan</t>
        </is>
      </c>
      <c r="C129" t="inlineStr">
        <is>
          <t>Föryngringsavverkning</t>
        </is>
      </c>
      <c r="D129" s="1" t="n">
        <v>45946</v>
      </c>
      <c r="E129" s="1" t="n">
        <v>46291</v>
      </c>
      <c r="F129" t="inlineStr">
        <is>
          <t>JÖNKÖPINGS LÄN</t>
        </is>
      </c>
      <c r="G129" t="inlineStr">
        <is>
          <t>TRANÅS</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21319-2023</t>
        </is>
      </c>
      <c r="B130" t="inlineStr">
        <is>
          <t>avverkningsanmälan</t>
        </is>
      </c>
      <c r="C130" t="inlineStr">
        <is>
          <t>Avverkning för annat ändamål</t>
        </is>
      </c>
      <c r="D130" s="1" t="n">
        <v>45062</v>
      </c>
      <c r="E130" s="1" t="n">
        <v>46291</v>
      </c>
      <c r="F130" t="inlineStr">
        <is>
          <t>JÖNKÖPINGS LÄN</t>
        </is>
      </c>
      <c r="G130" t="inlineStr">
        <is>
          <t>TRANÅS</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26855-2025</t>
        </is>
      </c>
      <c r="B131" t="inlineStr">
        <is>
          <t>avverkningsanmälan</t>
        </is>
      </c>
      <c r="C131" t="inlineStr">
        <is>
          <t>Föryngringsavverkning</t>
        </is>
      </c>
      <c r="D131" s="1" t="n">
        <v>45810</v>
      </c>
      <c r="E131" s="1" t="n">
        <v>46291</v>
      </c>
      <c r="F131" t="inlineStr">
        <is>
          <t>JÖNKÖPINGS LÄN</t>
        </is>
      </c>
      <c r="G131" t="inlineStr">
        <is>
          <t>TRANÅS</t>
        </is>
      </c>
      <c r="H131" t="inlineStr">
        <is>
          <t>Kommuner</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15838-2026</t>
        </is>
      </c>
      <c r="B132" t="inlineStr">
        <is>
          <t>avverkningsanmälan</t>
        </is>
      </c>
      <c r="C132" t="inlineStr">
        <is>
          <t>Föryngringsavverkning</t>
        </is>
      </c>
      <c r="D132" s="1" t="n">
        <v>46107</v>
      </c>
      <c r="E132" s="1" t="n">
        <v>46291</v>
      </c>
      <c r="F132" t="inlineStr">
        <is>
          <t>JÖNKÖPINGS LÄN</t>
        </is>
      </c>
      <c r="G132" t="inlineStr">
        <is>
          <t>TRANÅS</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20134-2024</t>
        </is>
      </c>
      <c r="B133" t="inlineStr">
        <is>
          <t>avverkningsanmälan</t>
        </is>
      </c>
      <c r="C133" t="inlineStr">
        <is>
          <t>Föryngringsavverkning</t>
        </is>
      </c>
      <c r="D133" s="1" t="n">
        <v>45434</v>
      </c>
      <c r="E133" s="1" t="n">
        <v>46291</v>
      </c>
      <c r="F133" t="inlineStr">
        <is>
          <t>JÖNKÖPINGS LÄN</t>
        </is>
      </c>
      <c r="G133" t="inlineStr">
        <is>
          <t>TRANÅS</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57130-2022</t>
        </is>
      </c>
      <c r="B134" t="inlineStr">
        <is>
          <t>avverkningsanmälan</t>
        </is>
      </c>
      <c r="C134" t="inlineStr">
        <is>
          <t>Föryngringsavverkning</t>
        </is>
      </c>
      <c r="D134" s="1" t="n">
        <v>44895</v>
      </c>
      <c r="E134" s="1" t="n">
        <v>46291</v>
      </c>
      <c r="F134" t="inlineStr">
        <is>
          <t>JÖNKÖPINGS LÄN</t>
        </is>
      </c>
      <c r="G134" t="inlineStr">
        <is>
          <t>TRANÅS</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52188-2025</t>
        </is>
      </c>
      <c r="B135" t="inlineStr">
        <is>
          <t>avverkningsanmälan</t>
        </is>
      </c>
      <c r="C135" t="inlineStr">
        <is>
          <t>Föryngringsavverkning</t>
        </is>
      </c>
      <c r="D135" s="1" t="n">
        <v>45953</v>
      </c>
      <c r="E135" s="1" t="n">
        <v>46291</v>
      </c>
      <c r="F135" t="inlineStr">
        <is>
          <t>JÖNKÖPINGS LÄN</t>
        </is>
      </c>
      <c r="G135" t="inlineStr">
        <is>
          <t>TRANÅS</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18496-2024</t>
        </is>
      </c>
      <c r="B136" t="inlineStr">
        <is>
          <t>avverkningsanmälan</t>
        </is>
      </c>
      <c r="C136" t="inlineStr">
        <is>
          <t>Avverkning för annat ändamål</t>
        </is>
      </c>
      <c r="D136" s="1" t="n">
        <v>45425</v>
      </c>
      <c r="E136" s="1" t="n">
        <v>46291</v>
      </c>
      <c r="F136" t="inlineStr">
        <is>
          <t>JÖNKÖPINGS LÄN</t>
        </is>
      </c>
      <c r="G136" t="inlineStr">
        <is>
          <t>TRANÅS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52497-2025</t>
        </is>
      </c>
      <c r="B137" t="inlineStr">
        <is>
          <t>avverkningsanmälan</t>
        </is>
      </c>
      <c r="C137" t="inlineStr">
        <is>
          <t>Föryngringsavverkning</t>
        </is>
      </c>
      <c r="D137" s="1" t="n">
        <v>45954</v>
      </c>
      <c r="E137" s="1" t="n">
        <v>46291</v>
      </c>
      <c r="F137" t="inlineStr">
        <is>
          <t>JÖNKÖPINGS LÄN</t>
        </is>
      </c>
      <c r="G137" t="inlineStr">
        <is>
          <t>TRANÅS</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52515-2025</t>
        </is>
      </c>
      <c r="B138" t="inlineStr">
        <is>
          <t>avverkningsanmälan</t>
        </is>
      </c>
      <c r="C138" t="inlineStr">
        <is>
          <t>Föryngringsavverkning</t>
        </is>
      </c>
      <c r="D138" s="1" t="n">
        <v>45954</v>
      </c>
      <c r="E138" s="1" t="n">
        <v>46291</v>
      </c>
      <c r="F138" t="inlineStr">
        <is>
          <t>JÖNKÖPINGS LÄN</t>
        </is>
      </c>
      <c r="G138" t="inlineStr">
        <is>
          <t>TRANÅS</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3421-2024</t>
        </is>
      </c>
      <c r="B139" t="inlineStr">
        <is>
          <t>avverkningsanmälan</t>
        </is>
      </c>
      <c r="C139" t="inlineStr">
        <is>
          <t>Föryngringsavverkning</t>
        </is>
      </c>
      <c r="D139" s="1" t="n">
        <v>45319</v>
      </c>
      <c r="E139" s="1" t="n">
        <v>46291</v>
      </c>
      <c r="F139" t="inlineStr">
        <is>
          <t>JÖNKÖPINGS LÄN</t>
        </is>
      </c>
      <c r="G139" t="inlineStr">
        <is>
          <t>TRANÅS</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53447-2025</t>
        </is>
      </c>
      <c r="B140" t="inlineStr">
        <is>
          <t>avverkningsanmälan</t>
        </is>
      </c>
      <c r="C140" t="inlineStr">
        <is>
          <t>Föryngringsavverkning</t>
        </is>
      </c>
      <c r="D140" s="1" t="n">
        <v>45959</v>
      </c>
      <c r="E140" s="1" t="n">
        <v>46291</v>
      </c>
      <c r="F140" t="inlineStr">
        <is>
          <t>JÖNKÖPINGS LÄN</t>
        </is>
      </c>
      <c r="G140" t="inlineStr">
        <is>
          <t>TRANÅS</t>
        </is>
      </c>
      <c r="H140" t="inlineStr">
        <is>
          <t>Allmännings- och besparingsskogar</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13624-2023</t>
        </is>
      </c>
      <c r="B141" t="inlineStr">
        <is>
          <t>avverkningsanmälan</t>
        </is>
      </c>
      <c r="C141" t="inlineStr">
        <is>
          <t>Föryngringsavverkning</t>
        </is>
      </c>
      <c r="D141" s="1" t="n">
        <v>45006</v>
      </c>
      <c r="E141" s="1" t="n">
        <v>46291</v>
      </c>
      <c r="F141" t="inlineStr">
        <is>
          <t>JÖNKÖPINGS LÄN</t>
        </is>
      </c>
      <c r="G141" t="inlineStr">
        <is>
          <t>TRANÅS</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54351-2025</t>
        </is>
      </c>
      <c r="B142" t="inlineStr">
        <is>
          <t>avverkningsanmälan</t>
        </is>
      </c>
      <c r="C142" t="inlineStr">
        <is>
          <t>Föryngringsavverkning</t>
        </is>
      </c>
      <c r="D142" s="1" t="n">
        <v>45965</v>
      </c>
      <c r="E142" s="1" t="n">
        <v>46291</v>
      </c>
      <c r="F142" t="inlineStr">
        <is>
          <t>JÖNKÖPINGS LÄN</t>
        </is>
      </c>
      <c r="G142" t="inlineStr">
        <is>
          <t>TRANÅS</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56148-2025</t>
        </is>
      </c>
      <c r="B143" t="inlineStr">
        <is>
          <t>avverkningsanmälan</t>
        </is>
      </c>
      <c r="C143" t="inlineStr">
        <is>
          <t>Föryngringsavverkning</t>
        </is>
      </c>
      <c r="D143" s="1" t="n">
        <v>45974</v>
      </c>
      <c r="E143" s="1" t="n">
        <v>46291</v>
      </c>
      <c r="F143" t="inlineStr">
        <is>
          <t>JÖNKÖPINGS LÄN</t>
        </is>
      </c>
      <c r="G143" t="inlineStr">
        <is>
          <t>TRANÅS</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6919-2023</t>
        </is>
      </c>
      <c r="B144" t="inlineStr">
        <is>
          <t>avverkningsanmälan</t>
        </is>
      </c>
      <c r="C144" t="inlineStr">
        <is>
          <t>Föryngringsavverkning</t>
        </is>
      </c>
      <c r="D144" s="1" t="n">
        <v>44967</v>
      </c>
      <c r="E144" s="1" t="n">
        <v>46291</v>
      </c>
      <c r="F144" t="inlineStr">
        <is>
          <t>JÖNKÖPINGS LÄN</t>
        </is>
      </c>
      <c r="G144" t="inlineStr">
        <is>
          <t>TRANÅS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61017-2024</t>
        </is>
      </c>
      <c r="B145" t="inlineStr">
        <is>
          <t>avverkningsanmälan</t>
        </is>
      </c>
      <c r="C145" t="inlineStr">
        <is>
          <t>Föryngringsavverkning</t>
        </is>
      </c>
      <c r="D145" s="1" t="n">
        <v>45644</v>
      </c>
      <c r="E145" s="1" t="n">
        <v>46291</v>
      </c>
      <c r="F145" t="inlineStr">
        <is>
          <t>JÖNKÖPINGS LÄN</t>
        </is>
      </c>
      <c r="G145" t="inlineStr">
        <is>
          <t>TRANÅS</t>
        </is>
      </c>
      <c r="I145" t="n">
        <v>12.1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8351-2023</t>
        </is>
      </c>
      <c r="B146" t="inlineStr">
        <is>
          <t>avverkningsanmälan</t>
        </is>
      </c>
      <c r="C146" t="inlineStr">
        <is>
          <t>Föryngringsavverkning</t>
        </is>
      </c>
      <c r="D146" s="1" t="n">
        <v>44977</v>
      </c>
      <c r="E146" s="1" t="n">
        <v>46291</v>
      </c>
      <c r="F146" t="inlineStr">
        <is>
          <t>JÖNKÖPINGS LÄN</t>
        </is>
      </c>
      <c r="G146" t="inlineStr">
        <is>
          <t>TRANÅS</t>
        </is>
      </c>
      <c r="I146" t="n">
        <v>5.6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57648-2025</t>
        </is>
      </c>
      <c r="B147" t="inlineStr">
        <is>
          <t>avverkningsanmälan</t>
        </is>
      </c>
      <c r="C147" t="inlineStr">
        <is>
          <t>Avverkning för annat ändamål</t>
        </is>
      </c>
      <c r="D147" s="1" t="n">
        <v>45981</v>
      </c>
      <c r="E147" s="1" t="n">
        <v>46291</v>
      </c>
      <c r="F147" t="inlineStr">
        <is>
          <t>JÖNKÖPINGS LÄN</t>
        </is>
      </c>
      <c r="G147" t="inlineStr">
        <is>
          <t>TRANÅS</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30144-2024</t>
        </is>
      </c>
      <c r="B148" t="inlineStr">
        <is>
          <t>avverkningsanmälan</t>
        </is>
      </c>
      <c r="C148" t="inlineStr">
        <is>
          <t>Föryngringsavverkning</t>
        </is>
      </c>
      <c r="D148" s="1" t="n">
        <v>45489</v>
      </c>
      <c r="E148" s="1" t="n">
        <v>46291</v>
      </c>
      <c r="F148" t="inlineStr">
        <is>
          <t>JÖNKÖPINGS LÄN</t>
        </is>
      </c>
      <c r="G148" t="inlineStr">
        <is>
          <t>TRANÅS</t>
        </is>
      </c>
      <c r="H148" t="inlineStr">
        <is>
          <t>Allmännings- och besparingsskogar</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59272-2025</t>
        </is>
      </c>
      <c r="B149" t="inlineStr">
        <is>
          <t>avverkningsanmälan</t>
        </is>
      </c>
      <c r="C149" t="inlineStr">
        <is>
          <t>Föryngringsavverkning</t>
        </is>
      </c>
      <c r="D149" s="1" t="n">
        <v>45988</v>
      </c>
      <c r="E149" s="1" t="n">
        <v>46291</v>
      </c>
      <c r="F149" t="inlineStr">
        <is>
          <t>JÖNKÖPINGS LÄN</t>
        </is>
      </c>
      <c r="G149" t="inlineStr">
        <is>
          <t>TRANÅS</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49256-2024</t>
        </is>
      </c>
      <c r="B150" t="inlineStr">
        <is>
          <t>avverkningsanmälan</t>
        </is>
      </c>
      <c r="C150" t="inlineStr">
        <is>
          <t>Föryngringsavverkning</t>
        </is>
      </c>
      <c r="D150" s="1" t="n">
        <v>45595</v>
      </c>
      <c r="E150" s="1" t="n">
        <v>46291</v>
      </c>
      <c r="F150" t="inlineStr">
        <is>
          <t>JÖNKÖPINGS LÄN</t>
        </is>
      </c>
      <c r="G150" t="inlineStr">
        <is>
          <t>TRANÅS</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19853-2026</t>
        </is>
      </c>
      <c r="B151" t="inlineStr">
        <is>
          <t>avverkningsanmälan</t>
        </is>
      </c>
      <c r="C151" t="inlineStr">
        <is>
          <t>Föryngringsavverkning</t>
        </is>
      </c>
      <c r="D151" s="1" t="n">
        <v>46135</v>
      </c>
      <c r="E151" s="1" t="n">
        <v>46291</v>
      </c>
      <c r="F151" t="inlineStr">
        <is>
          <t>JÖNKÖPINGS LÄN</t>
        </is>
      </c>
      <c r="G151" t="inlineStr">
        <is>
          <t>TRANÅS</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14286-2024</t>
        </is>
      </c>
      <c r="B152" t="inlineStr">
        <is>
          <t>avverkningsanmälan</t>
        </is>
      </c>
      <c r="C152" t="inlineStr">
        <is>
          <t>Föryngringsavverkning</t>
        </is>
      </c>
      <c r="D152" s="1" t="n">
        <v>45393</v>
      </c>
      <c r="E152" s="1" t="n">
        <v>46291</v>
      </c>
      <c r="F152" t="inlineStr">
        <is>
          <t>JÖNKÖPINGS LÄN</t>
        </is>
      </c>
      <c r="G152" t="inlineStr">
        <is>
          <t>TRANÅS</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21351-2025</t>
        </is>
      </c>
      <c r="B153" t="inlineStr">
        <is>
          <t>avverkningsanmälan</t>
        </is>
      </c>
      <c r="C153" t="inlineStr">
        <is>
          <t>Avverkning för annat ändamål</t>
        </is>
      </c>
      <c r="D153" s="1" t="n">
        <v>45782</v>
      </c>
      <c r="E153" s="1" t="n">
        <v>46291</v>
      </c>
      <c r="F153" t="inlineStr">
        <is>
          <t>JÖNKÖPINGS LÄN</t>
        </is>
      </c>
      <c r="G153" t="inlineStr">
        <is>
          <t>TRANÅS</t>
        </is>
      </c>
      <c r="I153" t="n">
        <v>11.5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19983-2026</t>
        </is>
      </c>
      <c r="B154" t="inlineStr">
        <is>
          <t>avverkningsanmälan</t>
        </is>
      </c>
      <c r="C154" t="inlineStr">
        <is>
          <t>Föryngringsavverkning</t>
        </is>
      </c>
      <c r="D154" s="1" t="n">
        <v>46136</v>
      </c>
      <c r="E154" s="1" t="n">
        <v>46291</v>
      </c>
      <c r="F154" t="inlineStr">
        <is>
          <t>JÖNKÖPINGS LÄN</t>
        </is>
      </c>
      <c r="G154" t="inlineStr">
        <is>
          <t>TRANÅS</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47902-2022</t>
        </is>
      </c>
      <c r="B155" t="inlineStr">
        <is>
          <t>avverkningsanmälan</t>
        </is>
      </c>
      <c r="C155" t="inlineStr">
        <is>
          <t>Föryngringsavverkning</t>
        </is>
      </c>
      <c r="D155" s="1" t="n">
        <v>44855</v>
      </c>
      <c r="E155" s="1" t="n">
        <v>46291</v>
      </c>
      <c r="F155" t="inlineStr">
        <is>
          <t>JÖNKÖPINGS LÄN</t>
        </is>
      </c>
      <c r="G155" t="inlineStr">
        <is>
          <t>TRANÅS</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62867-2025</t>
        </is>
      </c>
      <c r="B156" t="inlineStr">
        <is>
          <t>avverkningsanmälan</t>
        </is>
      </c>
      <c r="C156" t="inlineStr">
        <is>
          <t>Föryngringsavverkning</t>
        </is>
      </c>
      <c r="D156" s="1" t="n">
        <v>46008</v>
      </c>
      <c r="E156" s="1" t="n">
        <v>46291</v>
      </c>
      <c r="F156" t="inlineStr">
        <is>
          <t>JÖNKÖPINGS LÄN</t>
        </is>
      </c>
      <c r="G156" t="inlineStr">
        <is>
          <t>TRANÅS</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59171-2024</t>
        </is>
      </c>
      <c r="B157" t="inlineStr">
        <is>
          <t>avverkningsanmälan</t>
        </is>
      </c>
      <c r="C157" t="inlineStr">
        <is>
          <t>Avverkning för annat ändamål</t>
        </is>
      </c>
      <c r="D157" s="1" t="n">
        <v>45637</v>
      </c>
      <c r="E157" s="1" t="n">
        <v>46291</v>
      </c>
      <c r="F157" t="inlineStr">
        <is>
          <t>JÖNKÖPINGS LÄN</t>
        </is>
      </c>
      <c r="G157" t="inlineStr">
        <is>
          <t>TRANÅS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55973-2025</t>
        </is>
      </c>
      <c r="B158" t="inlineStr">
        <is>
          <t>avverkningsanmälan</t>
        </is>
      </c>
      <c r="C158" t="inlineStr">
        <is>
          <t>Avverkning för annat ändamål</t>
        </is>
      </c>
      <c r="D158" s="1" t="n">
        <v>45973</v>
      </c>
      <c r="E158" s="1" t="n">
        <v>46291</v>
      </c>
      <c r="F158" t="inlineStr">
        <is>
          <t>JÖNKÖPINGS LÄN</t>
        </is>
      </c>
      <c r="G158" t="inlineStr">
        <is>
          <t>TRANÅS</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7583-2023</t>
        </is>
      </c>
      <c r="B159" t="inlineStr">
        <is>
          <t>avverkningsanmälan</t>
        </is>
      </c>
      <c r="C159" t="inlineStr">
        <is>
          <t>Föryngringsavverkning</t>
        </is>
      </c>
      <c r="D159" s="1" t="n">
        <v>44972</v>
      </c>
      <c r="E159" s="1" t="n">
        <v>46291</v>
      </c>
      <c r="F159" t="inlineStr">
        <is>
          <t>JÖNKÖPINGS LÄN</t>
        </is>
      </c>
      <c r="G159" t="inlineStr">
        <is>
          <t>TRANÅS</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16153-2023</t>
        </is>
      </c>
      <c r="B160" t="inlineStr">
        <is>
          <t>avverkningsanmälan</t>
        </is>
      </c>
      <c r="C160" t="inlineStr">
        <is>
          <t>Föryngringsavverkning</t>
        </is>
      </c>
      <c r="D160" s="1" t="n">
        <v>45027</v>
      </c>
      <c r="E160" s="1" t="n">
        <v>46291</v>
      </c>
      <c r="F160" t="inlineStr">
        <is>
          <t>JÖNKÖPINGS LÄN</t>
        </is>
      </c>
      <c r="G160" t="inlineStr">
        <is>
          <t>TRANÅS</t>
        </is>
      </c>
      <c r="H160" t="inlineStr">
        <is>
          <t>Allmännings- och besparingsskogar</t>
        </is>
      </c>
      <c r="I160" t="n">
        <v>14.5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19332-2025</t>
        </is>
      </c>
      <c r="B161" t="inlineStr">
        <is>
          <t>avverkningsanmälan</t>
        </is>
      </c>
      <c r="C161" t="inlineStr">
        <is>
          <t>Föryngringsavverkning</t>
        </is>
      </c>
      <c r="D161" s="1" t="n">
        <v>45769</v>
      </c>
      <c r="E161" s="1" t="n">
        <v>46291</v>
      </c>
      <c r="F161" t="inlineStr">
        <is>
          <t>JÖNKÖPINGS LÄN</t>
        </is>
      </c>
      <c r="G161" t="inlineStr">
        <is>
          <t>TRANÅS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24708-2023</t>
        </is>
      </c>
      <c r="B162" t="inlineStr">
        <is>
          <t>avverkningsanmälan</t>
        </is>
      </c>
      <c r="C162" t="inlineStr">
        <is>
          <t>Föryngringsavverkning</t>
        </is>
      </c>
      <c r="D162" s="1" t="n">
        <v>45084</v>
      </c>
      <c r="E162" s="1" t="n">
        <v>46291</v>
      </c>
      <c r="F162" t="inlineStr">
        <is>
          <t>JÖNKÖPINGS LÄN</t>
        </is>
      </c>
      <c r="G162" t="inlineStr">
        <is>
          <t>TRANÅS</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9750-2025</t>
        </is>
      </c>
      <c r="B163" t="inlineStr">
        <is>
          <t>avverkningsanmälan</t>
        </is>
      </c>
      <c r="C163" t="inlineStr">
        <is>
          <t>Föryngringsavverkning</t>
        </is>
      </c>
      <c r="D163" s="1" t="n">
        <v>45716</v>
      </c>
      <c r="E163" s="1" t="n">
        <v>46291</v>
      </c>
      <c r="F163" t="inlineStr">
        <is>
          <t>JÖNKÖPINGS LÄN</t>
        </is>
      </c>
      <c r="G163" t="inlineStr">
        <is>
          <t>TRANÅS</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18728-2024</t>
        </is>
      </c>
      <c r="B164" t="inlineStr">
        <is>
          <t>avverkningsanmälan</t>
        </is>
      </c>
      <c r="C164" t="inlineStr">
        <is>
          <t>Föryngringsavverkning</t>
        </is>
      </c>
      <c r="D164" s="1" t="n">
        <v>45426</v>
      </c>
      <c r="E164" s="1" t="n">
        <v>46291</v>
      </c>
      <c r="F164" t="inlineStr">
        <is>
          <t>JÖNKÖPINGS LÄN</t>
        </is>
      </c>
      <c r="G164" t="inlineStr">
        <is>
          <t>TRANÅS</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61393-2023</t>
        </is>
      </c>
      <c r="B165" t="inlineStr">
        <is>
          <t>avverkningsanmälan</t>
        </is>
      </c>
      <c r="C165" t="inlineStr">
        <is>
          <t>Föryngringsavverkning</t>
        </is>
      </c>
      <c r="D165" s="1" t="n">
        <v>45261</v>
      </c>
      <c r="E165" s="1" t="n">
        <v>46291</v>
      </c>
      <c r="F165" t="inlineStr">
        <is>
          <t>JÖNKÖPINGS LÄN</t>
        </is>
      </c>
      <c r="G165" t="inlineStr">
        <is>
          <t>TRANÅS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40564-2024</t>
        </is>
      </c>
      <c r="B166" t="inlineStr">
        <is>
          <t>avverkningsanmälan</t>
        </is>
      </c>
      <c r="C166" t="inlineStr">
        <is>
          <t>Föryngringsavverkning</t>
        </is>
      </c>
      <c r="D166" s="1" t="n">
        <v>45555</v>
      </c>
      <c r="E166" s="1" t="n">
        <v>46291</v>
      </c>
      <c r="F166" t="inlineStr">
        <is>
          <t>JÖNKÖPINGS LÄN</t>
        </is>
      </c>
      <c r="G166" t="inlineStr">
        <is>
          <t>TRANÅS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21459-2025</t>
        </is>
      </c>
      <c r="B167" t="inlineStr">
        <is>
          <t>avverkningsanmälan</t>
        </is>
      </c>
      <c r="C167" t="inlineStr">
        <is>
          <t>Föryngringsavverkning</t>
        </is>
      </c>
      <c r="D167" s="1" t="n">
        <v>45782</v>
      </c>
      <c r="E167" s="1" t="n">
        <v>46291</v>
      </c>
      <c r="F167" t="inlineStr">
        <is>
          <t>JÖNKÖPINGS LÄN</t>
        </is>
      </c>
      <c r="G167" t="inlineStr">
        <is>
          <t>TRANÅS</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60184-2024</t>
        </is>
      </c>
      <c r="B168" t="inlineStr">
        <is>
          <t>avverkningsanmälan</t>
        </is>
      </c>
      <c r="C168" t="inlineStr">
        <is>
          <t>Föryngringsavverkning</t>
        </is>
      </c>
      <c r="D168" s="1" t="n">
        <v>45639</v>
      </c>
      <c r="E168" s="1" t="n">
        <v>46291</v>
      </c>
      <c r="F168" t="inlineStr">
        <is>
          <t>JÖNKÖPINGS LÄN</t>
        </is>
      </c>
      <c r="G168" t="inlineStr">
        <is>
          <t>TRANÅS</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28139-2023</t>
        </is>
      </c>
      <c r="B169" t="inlineStr">
        <is>
          <t>avverkningsanmälan</t>
        </is>
      </c>
      <c r="C169" t="inlineStr">
        <is>
          <t>Föryngringsavverkning</t>
        </is>
      </c>
      <c r="D169" s="1" t="n">
        <v>45099</v>
      </c>
      <c r="E169" s="1" t="n">
        <v>46291</v>
      </c>
      <c r="F169" t="inlineStr">
        <is>
          <t>JÖNKÖPINGS LÄN</t>
        </is>
      </c>
      <c r="G169" t="inlineStr">
        <is>
          <t>TRANÅS</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52174-2025</t>
        </is>
      </c>
      <c r="B170" t="inlineStr">
        <is>
          <t>avverkningsanmälan</t>
        </is>
      </c>
      <c r="C170" t="inlineStr">
        <is>
          <t>Föryngringsavverkning</t>
        </is>
      </c>
      <c r="D170" s="1" t="n">
        <v>45953</v>
      </c>
      <c r="E170" s="1" t="n">
        <v>46291</v>
      </c>
      <c r="F170" t="inlineStr">
        <is>
          <t>JÖNKÖPINGS LÄN</t>
        </is>
      </c>
      <c r="G170" t="inlineStr">
        <is>
          <t>TRANÅS</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61702-2022</t>
        </is>
      </c>
      <c r="B171" t="inlineStr">
        <is>
          <t>avverkningsanmälan</t>
        </is>
      </c>
      <c r="C171" t="inlineStr">
        <is>
          <t>Föryngringsavverkning</t>
        </is>
      </c>
      <c r="D171" s="1" t="n">
        <v>44917</v>
      </c>
      <c r="E171" s="1" t="n">
        <v>46291</v>
      </c>
      <c r="F171" t="inlineStr">
        <is>
          <t>JÖNKÖPINGS LÄN</t>
        </is>
      </c>
      <c r="G171" t="inlineStr">
        <is>
          <t>TRANÅS</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37901-2025</t>
        </is>
      </c>
      <c r="B172" t="inlineStr">
        <is>
          <t>avverkningsanmälan</t>
        </is>
      </c>
      <c r="C172" t="inlineStr">
        <is>
          <t>Föryngringsavverkning</t>
        </is>
      </c>
      <c r="D172" s="1" t="n">
        <v>45880</v>
      </c>
      <c r="E172" s="1" t="n">
        <v>46291</v>
      </c>
      <c r="F172" t="inlineStr">
        <is>
          <t>JÖNKÖPINGS LÄN</t>
        </is>
      </c>
      <c r="G172" t="inlineStr">
        <is>
          <t>TRANÅS</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28997-2023</t>
        </is>
      </c>
      <c r="B173" t="inlineStr">
        <is>
          <t>avverkningsanmälan</t>
        </is>
      </c>
      <c r="C173" t="inlineStr">
        <is>
          <t>Avverkning för annat ändamål</t>
        </is>
      </c>
      <c r="D173" s="1" t="n">
        <v>45104</v>
      </c>
      <c r="E173" s="1" t="n">
        <v>46291</v>
      </c>
      <c r="F173" t="inlineStr">
        <is>
          <t>JÖNKÖPINGS LÄN</t>
        </is>
      </c>
      <c r="G173" t="inlineStr">
        <is>
          <t>TRANÅS</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52714-2024</t>
        </is>
      </c>
      <c r="B174" t="inlineStr">
        <is>
          <t>avverkningsanmälan</t>
        </is>
      </c>
      <c r="C174" t="inlineStr">
        <is>
          <t>Föryngringsavverkning</t>
        </is>
      </c>
      <c r="D174" s="1" t="n">
        <v>45610</v>
      </c>
      <c r="E174" s="1" t="n">
        <v>46291</v>
      </c>
      <c r="F174" t="inlineStr">
        <is>
          <t>JÖNKÖPINGS LÄN</t>
        </is>
      </c>
      <c r="G174" t="inlineStr">
        <is>
          <t>TRANÅS</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19323-2025</t>
        </is>
      </c>
      <c r="B175" t="inlineStr">
        <is>
          <t>avverkningsanmälan</t>
        </is>
      </c>
      <c r="C175" t="inlineStr">
        <is>
          <t>Föryngringsavverkning</t>
        </is>
      </c>
      <c r="D175" s="1" t="n">
        <v>45769</v>
      </c>
      <c r="E175" s="1" t="n">
        <v>46291</v>
      </c>
      <c r="F175" t="inlineStr">
        <is>
          <t>JÖNKÖPINGS LÄN</t>
        </is>
      </c>
      <c r="G175" t="inlineStr">
        <is>
          <t>TRANÅS</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41501-2025</t>
        </is>
      </c>
      <c r="B176" t="inlineStr">
        <is>
          <t>avverkningsanmälan</t>
        </is>
      </c>
      <c r="C176" t="inlineStr">
        <is>
          <t>Föryngringsavverkning</t>
        </is>
      </c>
      <c r="D176" s="1" t="n">
        <v>45901</v>
      </c>
      <c r="E176" s="1" t="n">
        <v>46291</v>
      </c>
      <c r="F176" t="inlineStr">
        <is>
          <t>JÖNKÖPINGS LÄN</t>
        </is>
      </c>
      <c r="G176" t="inlineStr">
        <is>
          <t>TRANÅS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24068-2026</t>
        </is>
      </c>
      <c r="B177" t="inlineStr">
        <is>
          <t>avverkningsanmälan</t>
        </is>
      </c>
      <c r="C177" t="inlineStr">
        <is>
          <t>Föryngringsavverkning</t>
        </is>
      </c>
      <c r="D177" s="1" t="n">
        <v>46164</v>
      </c>
      <c r="E177" s="1" t="n">
        <v>46291</v>
      </c>
      <c r="F177" t="inlineStr">
        <is>
          <t>JÖNKÖPINGS LÄN</t>
        </is>
      </c>
      <c r="G177" t="inlineStr">
        <is>
          <t>TRANÅS</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33201-2025</t>
        </is>
      </c>
      <c r="B178" t="inlineStr">
        <is>
          <t>avverkningsanmälan</t>
        </is>
      </c>
      <c r="C178" t="inlineStr">
        <is>
          <t>Föryngringsavverkning</t>
        </is>
      </c>
      <c r="D178" s="1" t="n">
        <v>45840</v>
      </c>
      <c r="E178" s="1" t="n">
        <v>46291</v>
      </c>
      <c r="F178" t="inlineStr">
        <is>
          <t>JÖNKÖPINGS LÄN</t>
        </is>
      </c>
      <c r="G178" t="inlineStr">
        <is>
          <t>TRANÅS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54408-2025</t>
        </is>
      </c>
      <c r="B179" t="inlineStr">
        <is>
          <t>avverkningsanmälan</t>
        </is>
      </c>
      <c r="C179" t="inlineStr">
        <is>
          <t>Föryngringsavverkning</t>
        </is>
      </c>
      <c r="D179" s="1" t="n">
        <v>45964</v>
      </c>
      <c r="E179" s="1" t="n">
        <v>46291</v>
      </c>
      <c r="F179" t="inlineStr">
        <is>
          <t>JÖNKÖPINGS LÄN</t>
        </is>
      </c>
      <c r="G179" t="inlineStr">
        <is>
          <t>TRANÅS</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16587-2024</t>
        </is>
      </c>
      <c r="B180" t="inlineStr">
        <is>
          <t>avverkningsanmälan</t>
        </is>
      </c>
      <c r="C180" t="inlineStr">
        <is>
          <t>Föryngringsavverkning</t>
        </is>
      </c>
      <c r="D180" s="1" t="n">
        <v>45408</v>
      </c>
      <c r="E180" s="1" t="n">
        <v>46291</v>
      </c>
      <c r="F180" t="inlineStr">
        <is>
          <t>JÖNKÖPINGS LÄN</t>
        </is>
      </c>
      <c r="G180" t="inlineStr">
        <is>
          <t>TRANÅS</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19328-2025</t>
        </is>
      </c>
      <c r="B181" t="inlineStr">
        <is>
          <t>avverkningsanmälan</t>
        </is>
      </c>
      <c r="C181" t="inlineStr">
        <is>
          <t>Föryngringsavverkning</t>
        </is>
      </c>
      <c r="D181" s="1" t="n">
        <v>45769</v>
      </c>
      <c r="E181" s="1" t="n">
        <v>46291</v>
      </c>
      <c r="F181" t="inlineStr">
        <is>
          <t>JÖNKÖPINGS LÄN</t>
        </is>
      </c>
      <c r="G181" t="inlineStr">
        <is>
          <t>TRANÅS</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20625-2025</t>
        </is>
      </c>
      <c r="B182" t="inlineStr">
        <is>
          <t>avverkningsanmälan</t>
        </is>
      </c>
      <c r="C182" t="inlineStr">
        <is>
          <t>Avverkning för annat ändamål</t>
        </is>
      </c>
      <c r="D182" s="1" t="n">
        <v>45776</v>
      </c>
      <c r="E182" s="1" t="n">
        <v>46291</v>
      </c>
      <c r="F182" t="inlineStr">
        <is>
          <t>JÖNKÖPINGS LÄN</t>
        </is>
      </c>
      <c r="G182" t="inlineStr">
        <is>
          <t>TRANÅS</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59640-2025</t>
        </is>
      </c>
      <c r="B183" t="inlineStr">
        <is>
          <t>avverkningsanmälan</t>
        </is>
      </c>
      <c r="C183" t="inlineStr">
        <is>
          <t>Avverkning för annat ändamål</t>
        </is>
      </c>
      <c r="D183" s="1" t="n">
        <v>45992</v>
      </c>
      <c r="E183" s="1" t="n">
        <v>46291</v>
      </c>
      <c r="F183" t="inlineStr">
        <is>
          <t>JÖNKÖPINGS LÄN</t>
        </is>
      </c>
      <c r="G183" t="inlineStr">
        <is>
          <t>TRANÅS</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5898-2024</t>
        </is>
      </c>
      <c r="B184" t="inlineStr">
        <is>
          <t>avverkningsanmälan</t>
        </is>
      </c>
      <c r="C184" t="inlineStr">
        <is>
          <t>Avverkning för annat ändamål</t>
        </is>
      </c>
      <c r="D184" s="1" t="n">
        <v>45335</v>
      </c>
      <c r="E184" s="1" t="n">
        <v>46291</v>
      </c>
      <c r="F184" t="inlineStr">
        <is>
          <t>JÖNKÖPINGS LÄN</t>
        </is>
      </c>
      <c r="G184" t="inlineStr">
        <is>
          <t>TRANÅS</t>
        </is>
      </c>
      <c r="H184" t="inlineStr">
        <is>
          <t>Allmännings- och besparingsskogar</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25090-2026</t>
        </is>
      </c>
      <c r="B185" t="inlineStr">
        <is>
          <t>avverkningsanmälan</t>
        </is>
      </c>
      <c r="C185" t="inlineStr">
        <is>
          <t>Föryngringsavverkning</t>
        </is>
      </c>
      <c r="D185" s="1" t="n">
        <v>46175</v>
      </c>
      <c r="E185" s="1" t="n">
        <v>46291</v>
      </c>
      <c r="F185" t="inlineStr">
        <is>
          <t>JÖNKÖPINGS LÄN</t>
        </is>
      </c>
      <c r="G185" t="inlineStr">
        <is>
          <t>TRANÅS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7940-2023</t>
        </is>
      </c>
      <c r="B186" t="inlineStr">
        <is>
          <t>avverkningsanmälan</t>
        </is>
      </c>
      <c r="C186" t="inlineStr">
        <is>
          <t>Föryngringsavverkning</t>
        </is>
      </c>
      <c r="D186" s="1" t="n">
        <v>44973</v>
      </c>
      <c r="E186" s="1" t="n">
        <v>46291</v>
      </c>
      <c r="F186" t="inlineStr">
        <is>
          <t>JÖNKÖPINGS LÄN</t>
        </is>
      </c>
      <c r="G186" t="inlineStr">
        <is>
          <t>TRANÅS</t>
        </is>
      </c>
      <c r="H186" t="inlineStr">
        <is>
          <t>Kommuner</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27786-2024</t>
        </is>
      </c>
      <c r="B187" t="inlineStr">
        <is>
          <t>avverkningsanmälan</t>
        </is>
      </c>
      <c r="C187" t="inlineStr">
        <is>
          <t>Föryngringsavverkning</t>
        </is>
      </c>
      <c r="D187" s="1" t="n">
        <v>45475</v>
      </c>
      <c r="E187" s="1" t="n">
        <v>46291</v>
      </c>
      <c r="F187" t="inlineStr">
        <is>
          <t>JÖNKÖPINGS LÄN</t>
        </is>
      </c>
      <c r="G187" t="inlineStr">
        <is>
          <t>TRANÅS</t>
        </is>
      </c>
      <c r="I187" t="n">
        <v>9.199999999999999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25806-2026</t>
        </is>
      </c>
      <c r="B188" t="inlineStr">
        <is>
          <t>avverkningsanmälan</t>
        </is>
      </c>
      <c r="C188" t="inlineStr">
        <is>
          <t>Föryngringsavverkning</t>
        </is>
      </c>
      <c r="D188" s="1" t="n">
        <v>46178</v>
      </c>
      <c r="E188" s="1" t="n">
        <v>46291</v>
      </c>
      <c r="F188" t="inlineStr">
        <is>
          <t>JÖNKÖPINGS LÄN</t>
        </is>
      </c>
      <c r="G188" t="inlineStr">
        <is>
          <t>TRANÅS</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37949-2023</t>
        </is>
      </c>
      <c r="B189" t="inlineStr">
        <is>
          <t>avverkningsanmälan</t>
        </is>
      </c>
      <c r="C189" t="inlineStr">
        <is>
          <t>Föryngringsavverkning</t>
        </is>
      </c>
      <c r="D189" s="1" t="n">
        <v>45159</v>
      </c>
      <c r="E189" s="1" t="n">
        <v>46291</v>
      </c>
      <c r="F189" t="inlineStr">
        <is>
          <t>JÖNKÖPINGS LÄN</t>
        </is>
      </c>
      <c r="G189" t="inlineStr">
        <is>
          <t>TRANÅS</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10453-2025</t>
        </is>
      </c>
      <c r="B190" t="inlineStr">
        <is>
          <t>avverkningsanmälan</t>
        </is>
      </c>
      <c r="C190" t="inlineStr">
        <is>
          <t>Föryngringsavverkning</t>
        </is>
      </c>
      <c r="D190" s="1" t="n">
        <v>45720</v>
      </c>
      <c r="E190" s="1" t="n">
        <v>46291</v>
      </c>
      <c r="F190" t="inlineStr">
        <is>
          <t>JÖNKÖPINGS LÄN</t>
        </is>
      </c>
      <c r="G190" t="inlineStr">
        <is>
          <t>TRANÅS</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2365-2025</t>
        </is>
      </c>
      <c r="B191" t="inlineStr">
        <is>
          <t>avverkningsanmälan</t>
        </is>
      </c>
      <c r="C191" t="inlineStr">
        <is>
          <t>Föryngringsavverkning</t>
        </is>
      </c>
      <c r="D191" s="1" t="n">
        <v>45673</v>
      </c>
      <c r="E191" s="1" t="n">
        <v>46291</v>
      </c>
      <c r="F191" t="inlineStr">
        <is>
          <t>JÖNKÖPINGS LÄN</t>
        </is>
      </c>
      <c r="G191" t="inlineStr">
        <is>
          <t>TRANÅS</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41496-2023</t>
        </is>
      </c>
      <c r="B192" t="inlineStr">
        <is>
          <t>avverkningsanmälan</t>
        </is>
      </c>
      <c r="C192" t="inlineStr">
        <is>
          <t>Föryngringsavverkning</t>
        </is>
      </c>
      <c r="D192" s="1" t="n">
        <v>45175</v>
      </c>
      <c r="E192" s="1" t="n">
        <v>46291</v>
      </c>
      <c r="F192" t="inlineStr">
        <is>
          <t>JÖNKÖPINGS LÄN</t>
        </is>
      </c>
      <c r="G192" t="inlineStr">
        <is>
          <t>TRANÅS</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12654-2024</t>
        </is>
      </c>
      <c r="B193" t="inlineStr">
        <is>
          <t>avverkningsanmälan</t>
        </is>
      </c>
      <c r="C193" t="inlineStr">
        <is>
          <t>Föryngringsavverkning</t>
        </is>
      </c>
      <c r="D193" s="1" t="n">
        <v>45379</v>
      </c>
      <c r="E193" s="1" t="n">
        <v>46291</v>
      </c>
      <c r="F193" t="inlineStr">
        <is>
          <t>JÖNKÖPINGS LÄN</t>
        </is>
      </c>
      <c r="G193" t="inlineStr">
        <is>
          <t>TRANÅS</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27690-2026</t>
        </is>
      </c>
      <c r="B194" t="inlineStr">
        <is>
          <t>avverkningsanmälan</t>
        </is>
      </c>
      <c r="C194" t="inlineStr">
        <is>
          <t>Föryngringsavverkning</t>
        </is>
      </c>
      <c r="D194" s="1" t="n">
        <v>46190</v>
      </c>
      <c r="E194" s="1" t="n">
        <v>46291</v>
      </c>
      <c r="F194" t="inlineStr">
        <is>
          <t>JÖNKÖPINGS LÄN</t>
        </is>
      </c>
      <c r="G194" t="inlineStr">
        <is>
          <t>TRANÅS</t>
        </is>
      </c>
      <c r="H194" t="inlineStr">
        <is>
          <t>Allmännings- och besparingsskogar</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27693-2026</t>
        </is>
      </c>
      <c r="B195" t="inlineStr">
        <is>
          <t>avverkningsanmälan</t>
        </is>
      </c>
      <c r="C195" t="inlineStr">
        <is>
          <t>Föryngringsavverkning</t>
        </is>
      </c>
      <c r="D195" s="1" t="n">
        <v>46190</v>
      </c>
      <c r="E195" s="1" t="n">
        <v>46291</v>
      </c>
      <c r="F195" t="inlineStr">
        <is>
          <t>JÖNKÖPINGS LÄN</t>
        </is>
      </c>
      <c r="G195" t="inlineStr">
        <is>
          <t>TRANÅS</t>
        </is>
      </c>
      <c r="H195" t="inlineStr">
        <is>
          <t>Allmännings- och besparingsskogar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27686-2026</t>
        </is>
      </c>
      <c r="B196" t="inlineStr">
        <is>
          <t>avverkningsanmälan</t>
        </is>
      </c>
      <c r="C196" t="inlineStr">
        <is>
          <t>Föryngringsavverkning</t>
        </is>
      </c>
      <c r="D196" s="1" t="n">
        <v>46190</v>
      </c>
      <c r="E196" s="1" t="n">
        <v>46291</v>
      </c>
      <c r="F196" t="inlineStr">
        <is>
          <t>JÖNKÖPINGS LÄN</t>
        </is>
      </c>
      <c r="G196" t="inlineStr">
        <is>
          <t>TRANÅS</t>
        </is>
      </c>
      <c r="H196" t="inlineStr">
        <is>
          <t>Allmännings- och besparingsskogar</t>
        </is>
      </c>
      <c r="I196" t="n">
        <v>11.2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73249-2021</t>
        </is>
      </c>
      <c r="B197" t="inlineStr">
        <is>
          <t>avverkningsanmälan</t>
        </is>
      </c>
      <c r="C197" t="inlineStr">
        <is>
          <t>Föryngringsavverkning</t>
        </is>
      </c>
      <c r="D197" s="1" t="n">
        <v>44550</v>
      </c>
      <c r="E197" s="1" t="n">
        <v>46291</v>
      </c>
      <c r="F197" t="inlineStr">
        <is>
          <t>JÖNKÖPINGS LÄN</t>
        </is>
      </c>
      <c r="G197" t="inlineStr">
        <is>
          <t>TRANÅS</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28580-2026</t>
        </is>
      </c>
      <c r="B198" t="inlineStr">
        <is>
          <t>avverkningsanmälan</t>
        </is>
      </c>
      <c r="C198" t="inlineStr">
        <is>
          <t>Föryngringsavverkning</t>
        </is>
      </c>
      <c r="D198" s="1" t="n">
        <v>46197</v>
      </c>
      <c r="E198" s="1" t="n">
        <v>46291</v>
      </c>
      <c r="F198" t="inlineStr">
        <is>
          <t>JÖNKÖPINGS LÄN</t>
        </is>
      </c>
      <c r="G198" t="inlineStr">
        <is>
          <t>TRANÅS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48315-2023</t>
        </is>
      </c>
      <c r="B199" t="inlineStr">
        <is>
          <t>avverkningsanmälan</t>
        </is>
      </c>
      <c r="C199" t="inlineStr">
        <is>
          <t>Avverkning för annat ändamål</t>
        </is>
      </c>
      <c r="D199" s="1" t="n">
        <v>45201</v>
      </c>
      <c r="E199" s="1" t="n">
        <v>46291</v>
      </c>
      <c r="F199" t="inlineStr">
        <is>
          <t>JÖNKÖPINGS LÄN</t>
        </is>
      </c>
      <c r="G199" t="inlineStr">
        <is>
          <t>TRANÅS</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28814-2026</t>
        </is>
      </c>
      <c r="B200" t="inlineStr">
        <is>
          <t>avverkningsanmälan</t>
        </is>
      </c>
      <c r="C200" t="inlineStr">
        <is>
          <t>Föryngringsavverkning</t>
        </is>
      </c>
      <c r="D200" s="1" t="n">
        <v>46198</v>
      </c>
      <c r="E200" s="1" t="n">
        <v>46291</v>
      </c>
      <c r="F200" t="inlineStr">
        <is>
          <t>JÖNKÖPINGS LÄN</t>
        </is>
      </c>
      <c r="G200" t="inlineStr">
        <is>
          <t>TRANÅS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23984-2023</t>
        </is>
      </c>
      <c r="B201" t="inlineStr">
        <is>
          <t>avverkningsanmälan</t>
        </is>
      </c>
      <c r="C201" t="inlineStr">
        <is>
          <t>Föryngringsavverkning</t>
        </is>
      </c>
      <c r="D201" s="1" t="n">
        <v>45078</v>
      </c>
      <c r="E201" s="1" t="n">
        <v>46291</v>
      </c>
      <c r="F201" t="inlineStr">
        <is>
          <t>JÖNKÖPINGS LÄN</t>
        </is>
      </c>
      <c r="G201" t="inlineStr">
        <is>
          <t>TRANÅS</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23993-2023</t>
        </is>
      </c>
      <c r="B202" t="inlineStr">
        <is>
          <t>avverkningsanmälan</t>
        </is>
      </c>
      <c r="C202" t="inlineStr">
        <is>
          <t>Föryngringsavverkning</t>
        </is>
      </c>
      <c r="D202" s="1" t="n">
        <v>45078</v>
      </c>
      <c r="E202" s="1" t="n">
        <v>46291</v>
      </c>
      <c r="F202" t="inlineStr">
        <is>
          <t>JÖNKÖPINGS LÄN</t>
        </is>
      </c>
      <c r="G202" t="inlineStr">
        <is>
          <t>TRANÅS</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8874-2022</t>
        </is>
      </c>
      <c r="B203" t="inlineStr">
        <is>
          <t>avverkningsanmälan</t>
        </is>
      </c>
      <c r="C203" t="inlineStr">
        <is>
          <t>Avverkning för annat ändamål</t>
        </is>
      </c>
      <c r="D203" s="1" t="n">
        <v>44614</v>
      </c>
      <c r="E203" s="1" t="n">
        <v>46291</v>
      </c>
      <c r="F203" t="inlineStr">
        <is>
          <t>JÖNKÖPINGS LÄN</t>
        </is>
      </c>
      <c r="G203" t="inlineStr">
        <is>
          <t>TRANÅS</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29221-2026</t>
        </is>
      </c>
      <c r="B204" t="inlineStr">
        <is>
          <t>avverkningsanmälan</t>
        </is>
      </c>
      <c r="C204" t="inlineStr">
        <is>
          <t>Föryngringsavverkning</t>
        </is>
      </c>
      <c r="D204" s="1" t="n">
        <v>46202</v>
      </c>
      <c r="E204" s="1" t="n">
        <v>46291</v>
      </c>
      <c r="F204" t="inlineStr">
        <is>
          <t>JÖNKÖPINGS LÄN</t>
        </is>
      </c>
      <c r="G204" t="inlineStr">
        <is>
          <t>TRANÅS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1613-2022</t>
        </is>
      </c>
      <c r="B205" t="inlineStr">
        <is>
          <t>avverkningsanmälan</t>
        </is>
      </c>
      <c r="C205" t="inlineStr">
        <is>
          <t>Föryngringsavverkning</t>
        </is>
      </c>
      <c r="D205" s="1" t="n">
        <v>44573</v>
      </c>
      <c r="E205" s="1" t="n">
        <v>46291</v>
      </c>
      <c r="F205" t="inlineStr">
        <is>
          <t>JÖNKÖPINGS LÄN</t>
        </is>
      </c>
      <c r="G205" t="inlineStr">
        <is>
          <t>TRANÅS</t>
        </is>
      </c>
      <c r="H205" t="inlineStr">
        <is>
          <t>Allmännings- och besparingsskogar</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29654-2026</t>
        </is>
      </c>
      <c r="B206" t="inlineStr">
        <is>
          <t>avverkningsanmälan</t>
        </is>
      </c>
      <c r="C206" t="inlineStr">
        <is>
          <t>Avverkning för annat ändamål</t>
        </is>
      </c>
      <c r="D206" s="1" t="n">
        <v>46204</v>
      </c>
      <c r="E206" s="1" t="n">
        <v>46291</v>
      </c>
      <c r="F206" t="inlineStr">
        <is>
          <t>JÖNKÖPINGS LÄN</t>
        </is>
      </c>
      <c r="G206" t="inlineStr">
        <is>
          <t>TRANÅS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7333-2024</t>
        </is>
      </c>
      <c r="B207" t="inlineStr">
        <is>
          <t>avverkningsanmälan</t>
        </is>
      </c>
      <c r="C207" t="inlineStr">
        <is>
          <t>Föryngringsavverkning</t>
        </is>
      </c>
      <c r="D207" s="1" t="n">
        <v>45345</v>
      </c>
      <c r="E207" s="1" t="n">
        <v>46291</v>
      </c>
      <c r="F207" t="inlineStr">
        <is>
          <t>JÖNKÖPINGS LÄN</t>
        </is>
      </c>
      <c r="G207" t="inlineStr">
        <is>
          <t>TRANÅS</t>
        </is>
      </c>
      <c r="H207" t="inlineStr">
        <is>
          <t>Allmännings- och besparingsskogar</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16150-2023</t>
        </is>
      </c>
      <c r="B208" t="inlineStr">
        <is>
          <t>avverkningsanmälan</t>
        </is>
      </c>
      <c r="C208" t="inlineStr">
        <is>
          <t>Föryngringsavverkning</t>
        </is>
      </c>
      <c r="D208" s="1" t="n">
        <v>45027</v>
      </c>
      <c r="E208" s="1" t="n">
        <v>46291</v>
      </c>
      <c r="F208" t="inlineStr">
        <is>
          <t>JÖNKÖPINGS LÄN</t>
        </is>
      </c>
      <c r="G208" t="inlineStr">
        <is>
          <t>TRANÅS</t>
        </is>
      </c>
      <c r="H208" t="inlineStr">
        <is>
          <t>Allmännings- och besparingsskogar</t>
        </is>
      </c>
      <c r="I208" t="n">
        <v>12.3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12214-2022</t>
        </is>
      </c>
      <c r="B209" t="inlineStr">
        <is>
          <t>avverkningsanmälan</t>
        </is>
      </c>
      <c r="C209" t="inlineStr">
        <is>
          <t>Avverkning för annat ändamål</t>
        </is>
      </c>
      <c r="D209" s="1" t="n">
        <v>44637</v>
      </c>
      <c r="E209" s="1" t="n">
        <v>46291</v>
      </c>
      <c r="F209" t="inlineStr">
        <is>
          <t>JÖNKÖPINGS LÄN</t>
        </is>
      </c>
      <c r="G209" t="inlineStr">
        <is>
          <t>TRANÅS</t>
        </is>
      </c>
      <c r="H209" t="inlineStr">
        <is>
          <t>Allmännings- och besparingsskogar</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34376-2026</t>
        </is>
      </c>
      <c r="B210" t="inlineStr">
        <is>
          <t>avverkningsanmälan</t>
        </is>
      </c>
      <c r="C210" t="inlineStr">
        <is>
          <t>Avverkning för annat ändamål</t>
        </is>
      </c>
      <c r="D210" s="1" t="n">
        <v>46254</v>
      </c>
      <c r="E210" s="1" t="n">
        <v>46291</v>
      </c>
      <c r="F210" t="inlineStr">
        <is>
          <t>JÖNKÖPINGS LÄN</t>
        </is>
      </c>
      <c r="G210" t="inlineStr">
        <is>
          <t>TRANÅS</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9705-2022</t>
        </is>
      </c>
      <c r="B211" t="inlineStr">
        <is>
          <t>avverkningsanmälan</t>
        </is>
      </c>
      <c r="C211" t="inlineStr">
        <is>
          <t>Föryngringsavverkning</t>
        </is>
      </c>
      <c r="D211" s="1" t="n">
        <v>44617</v>
      </c>
      <c r="E211" s="1" t="n">
        <v>46291</v>
      </c>
      <c r="F211" t="inlineStr">
        <is>
          <t>JÖNKÖPINGS LÄN</t>
        </is>
      </c>
      <c r="G211" t="inlineStr">
        <is>
          <t>TRANÅS</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46854-2024</t>
        </is>
      </c>
      <c r="B212" t="inlineStr">
        <is>
          <t>avverkningsanmälan</t>
        </is>
      </c>
      <c r="C212" t="inlineStr">
        <is>
          <t>Föryngringsavverkning</t>
        </is>
      </c>
      <c r="D212" s="1" t="n">
        <v>45583</v>
      </c>
      <c r="E212" s="1" t="n">
        <v>46291</v>
      </c>
      <c r="F212" t="inlineStr">
        <is>
          <t>JÖNKÖPINGS LÄN</t>
        </is>
      </c>
      <c r="G212" t="inlineStr">
        <is>
          <t>TRANÅS</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4153-2025</t>
        </is>
      </c>
      <c r="B213" t="inlineStr">
        <is>
          <t>avverkningsanmälan</t>
        </is>
      </c>
      <c r="C213" t="inlineStr">
        <is>
          <t>Föryngringsavverkning</t>
        </is>
      </c>
      <c r="D213" s="1" t="n">
        <v>45685</v>
      </c>
      <c r="E213" s="1" t="n">
        <v>46291</v>
      </c>
      <c r="F213" t="inlineStr">
        <is>
          <t>JÖNKÖPINGS LÄN</t>
        </is>
      </c>
      <c r="G213" t="inlineStr">
        <is>
          <t>TRANÅS</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35251-2026</t>
        </is>
      </c>
      <c r="B214" t="inlineStr">
        <is>
          <t>avverkningsanmälan</t>
        </is>
      </c>
      <c r="C214" t="inlineStr">
        <is>
          <t>Föryngringsavverkning</t>
        </is>
      </c>
      <c r="D214" s="1" t="n">
        <v>46260</v>
      </c>
      <c r="E214" s="1" t="n">
        <v>46291</v>
      </c>
      <c r="F214" t="inlineStr">
        <is>
          <t>JÖNKÖPINGS LÄN</t>
        </is>
      </c>
      <c r="G214" t="inlineStr">
        <is>
          <t>TRANÅS</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21012-2022</t>
        </is>
      </c>
      <c r="B215" t="inlineStr">
        <is>
          <t>avverkningsanmälan</t>
        </is>
      </c>
      <c r="C215" t="inlineStr">
        <is>
          <t>Föryngringsavverkning</t>
        </is>
      </c>
      <c r="D215" s="1" t="n">
        <v>44701</v>
      </c>
      <c r="E215" s="1" t="n">
        <v>46291</v>
      </c>
      <c r="F215" t="inlineStr">
        <is>
          <t>JÖNKÖPINGS LÄN</t>
        </is>
      </c>
      <c r="G215" t="inlineStr">
        <is>
          <t>TRANÅS</t>
        </is>
      </c>
      <c r="I215" t="n">
        <v>7.1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23031-2022</t>
        </is>
      </c>
      <c r="B216" t="inlineStr">
        <is>
          <t>avverkningsanmälan</t>
        </is>
      </c>
      <c r="C216" t="inlineStr">
        <is>
          <t>Avverkning för annat ändamål</t>
        </is>
      </c>
      <c r="D216" s="1" t="n">
        <v>44719</v>
      </c>
      <c r="E216" s="1" t="n">
        <v>46291</v>
      </c>
      <c r="F216" t="inlineStr">
        <is>
          <t>JÖNKÖPINGS LÄN</t>
        </is>
      </c>
      <c r="G216" t="inlineStr">
        <is>
          <t>TRANÅS</t>
        </is>
      </c>
      <c r="H216" t="inlineStr">
        <is>
          <t>Kommuner</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2768-2024</t>
        </is>
      </c>
      <c r="B217" t="inlineStr">
        <is>
          <t>avverkningsanmälan</t>
        </is>
      </c>
      <c r="C217" t="inlineStr">
        <is>
          <t>Föryngringsavverkning</t>
        </is>
      </c>
      <c r="D217" s="1" t="n">
        <v>45314</v>
      </c>
      <c r="E217" s="1" t="n">
        <v>46291</v>
      </c>
      <c r="F217" t="inlineStr">
        <is>
          <t>JÖNKÖPINGS LÄN</t>
        </is>
      </c>
      <c r="G217" t="inlineStr">
        <is>
          <t>TRANÅS</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20663-2022</t>
        </is>
      </c>
      <c r="B218" t="inlineStr">
        <is>
          <t>avverkningsanmälan</t>
        </is>
      </c>
      <c r="C218" t="inlineStr">
        <is>
          <t>Föryngringsavverkning</t>
        </is>
      </c>
      <c r="D218" s="1" t="n">
        <v>44700</v>
      </c>
      <c r="E218" s="1" t="n">
        <v>46291</v>
      </c>
      <c r="F218" t="inlineStr">
        <is>
          <t>JÖNKÖPINGS LÄN</t>
        </is>
      </c>
      <c r="G218" t="inlineStr">
        <is>
          <t>TRANÅS</t>
        </is>
      </c>
      <c r="H218" t="inlineStr">
        <is>
          <t>Allmännings- och besparingsskogar</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5995-2024</t>
        </is>
      </c>
      <c r="B219" t="inlineStr">
        <is>
          <t>avverkningsanmälan</t>
        </is>
      </c>
      <c r="C219" t="inlineStr">
        <is>
          <t>Föryngringsavverkning</t>
        </is>
      </c>
      <c r="D219" s="1" t="n">
        <v>45336</v>
      </c>
      <c r="E219" s="1" t="n">
        <v>46291</v>
      </c>
      <c r="F219" t="inlineStr">
        <is>
          <t>JÖNKÖPINGS LÄN</t>
        </is>
      </c>
      <c r="G219" t="inlineStr">
        <is>
          <t>TRANÅS</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9800-2025</t>
        </is>
      </c>
      <c r="B220" t="inlineStr">
        <is>
          <t>avverkningsanmälan</t>
        </is>
      </c>
      <c r="C220" t="inlineStr">
        <is>
          <t>Föryngringsavverkning</t>
        </is>
      </c>
      <c r="D220" s="1" t="n">
        <v>45715</v>
      </c>
      <c r="E220" s="1" t="n">
        <v>46291</v>
      </c>
      <c r="F220" t="inlineStr">
        <is>
          <t>JÖNKÖPINGS LÄN</t>
        </is>
      </c>
      <c r="G220" t="inlineStr">
        <is>
          <t>TRANÅS</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26449-2022</t>
        </is>
      </c>
      <c r="B221" t="inlineStr">
        <is>
          <t>avverkningsanmälan</t>
        </is>
      </c>
      <c r="C221" t="inlineStr">
        <is>
          <t>Föryngringsavverkning</t>
        </is>
      </c>
      <c r="D221" s="1" t="n">
        <v>44738</v>
      </c>
      <c r="E221" s="1" t="n">
        <v>46291</v>
      </c>
      <c r="F221" t="inlineStr">
        <is>
          <t>JÖNKÖPINGS LÄN</t>
        </is>
      </c>
      <c r="G221" t="inlineStr">
        <is>
          <t>TRANÅS</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1714-2024</t>
        </is>
      </c>
      <c r="B222" t="inlineStr">
        <is>
          <t>avverkningsanmälan</t>
        </is>
      </c>
      <c r="C222" t="inlineStr">
        <is>
          <t>Föryngringsavverkning</t>
        </is>
      </c>
      <c r="D222" s="1" t="n">
        <v>45307</v>
      </c>
      <c r="E222" s="1" t="n">
        <v>46291</v>
      </c>
      <c r="F222" t="inlineStr">
        <is>
          <t>JÖNKÖPINGS LÄN</t>
        </is>
      </c>
      <c r="G222" t="inlineStr">
        <is>
          <t>TRANÅS</t>
        </is>
      </c>
      <c r="H222" t="inlineStr">
        <is>
          <t>Kommuner</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19494-2022</t>
        </is>
      </c>
      <c r="B223" t="inlineStr">
        <is>
          <t>avverkningsanmälan</t>
        </is>
      </c>
      <c r="C223" t="inlineStr">
        <is>
          <t>Föryngringsavverkning</t>
        </is>
      </c>
      <c r="D223" s="1" t="n">
        <v>44693</v>
      </c>
      <c r="E223" s="1" t="n">
        <v>46291</v>
      </c>
      <c r="F223" t="inlineStr">
        <is>
          <t>JÖNKÖPINGS LÄN</t>
        </is>
      </c>
      <c r="G223" t="inlineStr">
        <is>
          <t>TRANÅS</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34518-2023</t>
        </is>
      </c>
      <c r="B224" t="inlineStr">
        <is>
          <t>avverkningsanmälan</t>
        </is>
      </c>
      <c r="C224" t="inlineStr">
        <is>
          <t>Föryngringsavverkning</t>
        </is>
      </c>
      <c r="D224" s="1" t="n">
        <v>45140</v>
      </c>
      <c r="E224" s="1" t="n">
        <v>46291</v>
      </c>
      <c r="F224" t="inlineStr">
        <is>
          <t>JÖNKÖPINGS LÄN</t>
        </is>
      </c>
      <c r="G224" t="inlineStr">
        <is>
          <t>TRANÅS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36537-2026</t>
        </is>
      </c>
      <c r="B225" t="inlineStr">
        <is>
          <t>avverkningsanmälan</t>
        </is>
      </c>
      <c r="C225" t="inlineStr">
        <is>
          <t>Föryngringsavverkning</t>
        </is>
      </c>
      <c r="D225" s="1" t="n">
        <v>46268</v>
      </c>
      <c r="E225" s="1" t="n">
        <v>46291</v>
      </c>
      <c r="F225" t="inlineStr">
        <is>
          <t>JÖNKÖPINGS LÄN</t>
        </is>
      </c>
      <c r="G225" t="inlineStr">
        <is>
          <t>TRANÅS</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45575-2022</t>
        </is>
      </c>
      <c r="B226" t="inlineStr">
        <is>
          <t>avverkningsanmälan</t>
        </is>
      </c>
      <c r="C226" t="inlineStr">
        <is>
          <t>Avverkning för annat ändamål</t>
        </is>
      </c>
      <c r="D226" s="1" t="n">
        <v>44845</v>
      </c>
      <c r="E226" s="1" t="n">
        <v>46291</v>
      </c>
      <c r="F226" t="inlineStr">
        <is>
          <t>JÖNKÖPINGS LÄN</t>
        </is>
      </c>
      <c r="G226" t="inlineStr">
        <is>
          <t>TRANÅS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36883-2026</t>
        </is>
      </c>
      <c r="B227" t="inlineStr">
        <is>
          <t>avverkningsanmälan</t>
        </is>
      </c>
      <c r="C227" t="inlineStr">
        <is>
          <t>Föryngringsavverkning</t>
        </is>
      </c>
      <c r="D227" s="1" t="n">
        <v>46273</v>
      </c>
      <c r="E227" s="1" t="n">
        <v>46291</v>
      </c>
      <c r="F227" t="inlineStr">
        <is>
          <t>JÖNKÖPINGS LÄN</t>
        </is>
      </c>
      <c r="G227" t="inlineStr">
        <is>
          <t>TRANÅS</t>
        </is>
      </c>
      <c r="I227" t="n">
        <v>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36886-2026</t>
        </is>
      </c>
      <c r="B228" t="inlineStr">
        <is>
          <t>avverkningsanmälan</t>
        </is>
      </c>
      <c r="C228" t="inlineStr">
        <is>
          <t>Föryngringsavverkning</t>
        </is>
      </c>
      <c r="D228" s="1" t="n">
        <v>46273</v>
      </c>
      <c r="E228" s="1" t="n">
        <v>46291</v>
      </c>
      <c r="F228" t="inlineStr">
        <is>
          <t>JÖNKÖPINGS LÄN</t>
        </is>
      </c>
      <c r="G228" t="inlineStr">
        <is>
          <t>TRANÅS</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37189-2026</t>
        </is>
      </c>
      <c r="B229" t="inlineStr">
        <is>
          <t>avverkningsanmälan</t>
        </is>
      </c>
      <c r="C229" t="inlineStr">
        <is>
          <t>Föryngringsavverkning</t>
        </is>
      </c>
      <c r="D229" s="1" t="n">
        <v>46274</v>
      </c>
      <c r="E229" s="1" t="n">
        <v>46291</v>
      </c>
      <c r="F229" t="inlineStr">
        <is>
          <t>JÖNKÖPINGS LÄN</t>
        </is>
      </c>
      <c r="G229" t="inlineStr">
        <is>
          <t>TRANÅS</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39722-2024</t>
        </is>
      </c>
      <c r="B230" t="inlineStr">
        <is>
          <t>avverkningsanmälan</t>
        </is>
      </c>
      <c r="C230" t="inlineStr">
        <is>
          <t>Föryngringsavverkning</t>
        </is>
      </c>
      <c r="D230" s="1" t="n">
        <v>45552</v>
      </c>
      <c r="E230" s="1" t="n">
        <v>46291</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3711-2024</t>
        </is>
      </c>
      <c r="B231" t="inlineStr">
        <is>
          <t>avverkningsanmälan</t>
        </is>
      </c>
      <c r="C231" t="inlineStr">
        <is>
          <t>Föryngringsavverkning</t>
        </is>
      </c>
      <c r="D231" s="1" t="n">
        <v>45321</v>
      </c>
      <c r="E231" s="1" t="n">
        <v>46291</v>
      </c>
      <c r="F231" t="inlineStr">
        <is>
          <t>JÖNKÖPINGS LÄN</t>
        </is>
      </c>
      <c r="G231" t="inlineStr">
        <is>
          <t>TRANÅS</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11606-2023</t>
        </is>
      </c>
      <c r="B232" t="inlineStr">
        <is>
          <t>avverkningsanmälan</t>
        </is>
      </c>
      <c r="C232" t="inlineStr">
        <is>
          <t>Föryngringsavverkning</t>
        </is>
      </c>
      <c r="D232" s="1" t="n">
        <v>44992</v>
      </c>
      <c r="E232" s="1" t="n">
        <v>46291</v>
      </c>
      <c r="F232" t="inlineStr">
        <is>
          <t>JÖNKÖPINGS LÄN</t>
        </is>
      </c>
      <c r="G232" t="inlineStr">
        <is>
          <t>TRANÅS</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37188-2026</t>
        </is>
      </c>
      <c r="B233" t="inlineStr">
        <is>
          <t>avverkningsanmälan</t>
        </is>
      </c>
      <c r="C233" t="inlineStr">
        <is>
          <t>Föryngringsavverkning</t>
        </is>
      </c>
      <c r="D233" s="1" t="n">
        <v>46274</v>
      </c>
      <c r="E233" s="1" t="n">
        <v>46291</v>
      </c>
      <c r="F233" t="inlineStr">
        <is>
          <t>JÖNKÖPINGS LÄN</t>
        </is>
      </c>
      <c r="G233" t="inlineStr">
        <is>
          <t>TRANÅS</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50202-2023</t>
        </is>
      </c>
      <c r="B234" t="inlineStr">
        <is>
          <t>avverkningsanmälan</t>
        </is>
      </c>
      <c r="C234" t="inlineStr">
        <is>
          <t>Föryngringsavverkning</t>
        </is>
      </c>
      <c r="D234" s="1" t="n">
        <v>45215</v>
      </c>
      <c r="E234" s="1" t="n">
        <v>46291</v>
      </c>
      <c r="F234" t="inlineStr">
        <is>
          <t>JÖNKÖPINGS LÄN</t>
        </is>
      </c>
      <c r="G234" t="inlineStr">
        <is>
          <t>TRANÅS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36701-2026</t>
        </is>
      </c>
      <c r="B235" t="inlineStr">
        <is>
          <t>avverkningsanmälan</t>
        </is>
      </c>
      <c r="C235" t="inlineStr">
        <is>
          <t>Föryngringsavverkning</t>
        </is>
      </c>
      <c r="D235" s="1" t="n">
        <v>46272</v>
      </c>
      <c r="E235" s="1" t="n">
        <v>46291</v>
      </c>
      <c r="F235" t="inlineStr">
        <is>
          <t>JÖNKÖPINGS LÄN</t>
        </is>
      </c>
      <c r="G235" t="inlineStr">
        <is>
          <t>TRANÅS</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39600-2024</t>
        </is>
      </c>
      <c r="B236" t="inlineStr">
        <is>
          <t>avverkningsanmälan</t>
        </is>
      </c>
      <c r="C236" t="inlineStr">
        <is>
          <t>Föryngringsavverkning</t>
        </is>
      </c>
      <c r="D236" s="1" t="n">
        <v>45552</v>
      </c>
      <c r="E236" s="1" t="n">
        <v>46291</v>
      </c>
      <c r="F236" t="inlineStr">
        <is>
          <t>JÖNKÖPINGS LÄN</t>
        </is>
      </c>
      <c r="G236" t="inlineStr">
        <is>
          <t>TRANÅS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29130-2023</t>
        </is>
      </c>
      <c r="B237" t="inlineStr">
        <is>
          <t>avverkningsanmälan</t>
        </is>
      </c>
      <c r="C237" t="inlineStr">
        <is>
          <t>Föryngringsavverkning</t>
        </is>
      </c>
      <c r="D237" s="1" t="n">
        <v>45105</v>
      </c>
      <c r="E237" s="1" t="n">
        <v>46291</v>
      </c>
      <c r="F237" t="inlineStr">
        <is>
          <t>JÖNKÖPINGS LÄN</t>
        </is>
      </c>
      <c r="G237" t="inlineStr">
        <is>
          <t>TRANÅS</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17964-2024</t>
        </is>
      </c>
      <c r="B238" t="inlineStr">
        <is>
          <t>avverkningsanmälan</t>
        </is>
      </c>
      <c r="C238" t="inlineStr">
        <is>
          <t>Avverkning för annat ändamål</t>
        </is>
      </c>
      <c r="D238" s="1" t="n">
        <v>45419</v>
      </c>
      <c r="E238" s="1" t="n">
        <v>46291</v>
      </c>
      <c r="F238" t="inlineStr">
        <is>
          <t>JÖNKÖPINGS LÄN</t>
        </is>
      </c>
      <c r="G238" t="inlineStr">
        <is>
          <t>TRANÅS</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26512-2026</t>
        </is>
      </c>
      <c r="B239" t="inlineStr">
        <is>
          <t>avverkningsanmälan</t>
        </is>
      </c>
      <c r="C239" t="inlineStr">
        <is>
          <t>Föryngringsavverkning</t>
        </is>
      </c>
      <c r="D239" s="1" t="n">
        <v>46182</v>
      </c>
      <c r="E239" s="1" t="n">
        <v>46291</v>
      </c>
      <c r="F239" t="inlineStr">
        <is>
          <t>JÖNKÖPINGS LÄN</t>
        </is>
      </c>
      <c r="G239" t="inlineStr">
        <is>
          <t>TRANÅS</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12885-2023</t>
        </is>
      </c>
      <c r="B240" t="inlineStr">
        <is>
          <t>avverkningsanmälan</t>
        </is>
      </c>
      <c r="C240" t="inlineStr">
        <is>
          <t>Föryngringsavverkning</t>
        </is>
      </c>
      <c r="D240" s="1" t="n">
        <v>45001</v>
      </c>
      <c r="E240" s="1" t="n">
        <v>46291</v>
      </c>
      <c r="F240" t="inlineStr">
        <is>
          <t>JÖNKÖPINGS LÄN</t>
        </is>
      </c>
      <c r="G240" t="inlineStr">
        <is>
          <t>TRANÅS</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12474-2024</t>
        </is>
      </c>
      <c r="B241" t="inlineStr">
        <is>
          <t>avverkningsanmälan</t>
        </is>
      </c>
      <c r="C241" t="inlineStr">
        <is>
          <t>Föryngringsavverkning</t>
        </is>
      </c>
      <c r="D241" s="1" t="n">
        <v>45379</v>
      </c>
      <c r="E241" s="1" t="n">
        <v>46291</v>
      </c>
      <c r="F241" t="inlineStr">
        <is>
          <t>JÖNKÖPINGS LÄN</t>
        </is>
      </c>
      <c r="G241" t="inlineStr">
        <is>
          <t>TRANÅS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12476-2024</t>
        </is>
      </c>
      <c r="B242" t="inlineStr">
        <is>
          <t>avverkningsanmälan</t>
        </is>
      </c>
      <c r="C242" t="inlineStr">
        <is>
          <t>Föryngringsavverkning</t>
        </is>
      </c>
      <c r="D242" s="1" t="n">
        <v>45379</v>
      </c>
      <c r="E242" s="1" t="n">
        <v>46291</v>
      </c>
      <c r="F242" t="inlineStr">
        <is>
          <t>JÖNKÖPINGS LÄN</t>
        </is>
      </c>
      <c r="G242" t="inlineStr">
        <is>
          <t>TRANÅS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6043-2023</t>
        </is>
      </c>
      <c r="B243" t="inlineStr">
        <is>
          <t>avverkningsanmälan</t>
        </is>
      </c>
      <c r="C243" t="inlineStr">
        <is>
          <t>Avverkning för annat ändamål</t>
        </is>
      </c>
      <c r="D243" s="1" t="n">
        <v>44964</v>
      </c>
      <c r="E243" s="1" t="n">
        <v>46291</v>
      </c>
      <c r="F243" t="inlineStr">
        <is>
          <t>JÖNKÖPINGS LÄN</t>
        </is>
      </c>
      <c r="G243" t="inlineStr">
        <is>
          <t>TRANÅS</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19771-2023</t>
        </is>
      </c>
      <c r="B244" t="inlineStr">
        <is>
          <t>avverkningsanmälan</t>
        </is>
      </c>
      <c r="C244" t="inlineStr">
        <is>
          <t>Föryngringsavverkning</t>
        </is>
      </c>
      <c r="D244" s="1" t="n">
        <v>45051</v>
      </c>
      <c r="E244" s="1" t="n">
        <v>46291</v>
      </c>
      <c r="F244" t="inlineStr">
        <is>
          <t>JÖNKÖPINGS LÄN</t>
        </is>
      </c>
      <c r="G244" t="inlineStr">
        <is>
          <t>TRANÅS</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31694-2024</t>
        </is>
      </c>
      <c r="B245" t="inlineStr">
        <is>
          <t>avverkningsanmälan</t>
        </is>
      </c>
      <c r="C245" t="inlineStr">
        <is>
          <t>Avverkning för att bevara och utveckla /försöksver</t>
        </is>
      </c>
      <c r="D245" s="1" t="n">
        <v>45508</v>
      </c>
      <c r="E245" s="1" t="n">
        <v>46291</v>
      </c>
      <c r="F245" t="inlineStr">
        <is>
          <t>JÖNKÖPINGS LÄN</t>
        </is>
      </c>
      <c r="G245" t="inlineStr">
        <is>
          <t>TRANÅS</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20549-2023</t>
        </is>
      </c>
      <c r="B246" t="inlineStr">
        <is>
          <t>avverkningsanmälan</t>
        </is>
      </c>
      <c r="C246" t="inlineStr">
        <is>
          <t>Föryngringsavverkning</t>
        </is>
      </c>
      <c r="D246" s="1" t="n">
        <v>45057</v>
      </c>
      <c r="E246" s="1" t="n">
        <v>46291</v>
      </c>
      <c r="F246" t="inlineStr">
        <is>
          <t>JÖNKÖPINGS LÄN</t>
        </is>
      </c>
      <c r="G246" t="inlineStr">
        <is>
          <t>TRANÅS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17617-2023</t>
        </is>
      </c>
      <c r="B247" t="inlineStr">
        <is>
          <t>avverkningsanmälan</t>
        </is>
      </c>
      <c r="C247" t="inlineStr">
        <is>
          <t>Föryngringsavverkning</t>
        </is>
      </c>
      <c r="D247" s="1" t="n">
        <v>45036</v>
      </c>
      <c r="E247" s="1" t="n">
        <v>46291</v>
      </c>
      <c r="F247" t="inlineStr">
        <is>
          <t>JÖNKÖPINGS LÄN</t>
        </is>
      </c>
      <c r="G247" t="inlineStr">
        <is>
          <t>TRANÅS</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73785-2021</t>
        </is>
      </c>
      <c r="B248" t="inlineStr">
        <is>
          <t>avverkningsanmälan</t>
        </is>
      </c>
      <c r="C248" t="inlineStr">
        <is>
          <t>Föryngringsavverkning</t>
        </is>
      </c>
      <c r="D248" s="1" t="n">
        <v>44552</v>
      </c>
      <c r="E248" s="1" t="n">
        <v>46291</v>
      </c>
      <c r="F248" t="inlineStr">
        <is>
          <t>JÖNKÖPINGS LÄN</t>
        </is>
      </c>
      <c r="G248" t="inlineStr">
        <is>
          <t>TRANÅS</t>
        </is>
      </c>
      <c r="H248" t="inlineStr">
        <is>
          <t>Allmännings- och besparingsskogar</t>
        </is>
      </c>
      <c r="I248" t="n">
        <v>14.9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8348-2023</t>
        </is>
      </c>
      <c r="B249" t="inlineStr">
        <is>
          <t>avverkningsanmälan</t>
        </is>
      </c>
      <c r="C249" t="inlineStr">
        <is>
          <t>Föryngringsavverkning</t>
        </is>
      </c>
      <c r="D249" s="1" t="n">
        <v>44977</v>
      </c>
      <c r="E249" s="1" t="n">
        <v>46291</v>
      </c>
      <c r="F249" t="inlineStr">
        <is>
          <t>JÖNKÖPINGS LÄN</t>
        </is>
      </c>
      <c r="G249" t="inlineStr">
        <is>
          <t>TRANÅS</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1516-2024</t>
        </is>
      </c>
      <c r="B250" t="inlineStr">
        <is>
          <t>avverkningsanmälan</t>
        </is>
      </c>
      <c r="C250" t="inlineStr">
        <is>
          <t>Föryngringsavverkning</t>
        </is>
      </c>
      <c r="D250" s="1" t="n">
        <v>45306</v>
      </c>
      <c r="E250" s="1" t="n">
        <v>46291</v>
      </c>
      <c r="F250" t="inlineStr">
        <is>
          <t>JÖNKÖPINGS LÄN</t>
        </is>
      </c>
      <c r="G250" t="inlineStr">
        <is>
          <t>TRANÅS</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21876-2023</t>
        </is>
      </c>
      <c r="B251" t="inlineStr">
        <is>
          <t>avverkningsanmälan</t>
        </is>
      </c>
      <c r="C251" t="inlineStr">
        <is>
          <t>Avverkning för annat ändamål</t>
        </is>
      </c>
      <c r="D251" s="1" t="n">
        <v>45068</v>
      </c>
      <c r="E251" s="1" t="n">
        <v>46291</v>
      </c>
      <c r="F251" t="inlineStr">
        <is>
          <t>JÖNKÖPINGS LÄN</t>
        </is>
      </c>
      <c r="G251" t="inlineStr">
        <is>
          <t>TRANÅS</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11630-2023</t>
        </is>
      </c>
      <c r="B252" t="inlineStr">
        <is>
          <t>avverkningsanmälan</t>
        </is>
      </c>
      <c r="C252" t="inlineStr">
        <is>
          <t>Föryngringsavverkning</t>
        </is>
      </c>
      <c r="D252" s="1" t="n">
        <v>44992</v>
      </c>
      <c r="E252" s="1" t="n">
        <v>46291</v>
      </c>
      <c r="F252" t="inlineStr">
        <is>
          <t>JÖNKÖPINGS LÄN</t>
        </is>
      </c>
      <c r="G252" t="inlineStr">
        <is>
          <t>TRANÅS</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40442-2022</t>
        </is>
      </c>
      <c r="B253" t="inlineStr">
        <is>
          <t>avverkningsanmälan</t>
        </is>
      </c>
      <c r="C253" t="inlineStr">
        <is>
          <t>Föryngringsavverkning</t>
        </is>
      </c>
      <c r="D253" s="1" t="n">
        <v>44823</v>
      </c>
      <c r="E253" s="1" t="n">
        <v>46291</v>
      </c>
      <c r="F253" t="inlineStr">
        <is>
          <t>JÖNKÖPINGS LÄN</t>
        </is>
      </c>
      <c r="G253" t="inlineStr">
        <is>
          <t>TRANÅS</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17567-2025</t>
        </is>
      </c>
      <c r="B254" t="inlineStr">
        <is>
          <t>avverkningsanmälan</t>
        </is>
      </c>
      <c r="C254" t="inlineStr">
        <is>
          <t>Föryngringsavverkning</t>
        </is>
      </c>
      <c r="D254" s="1" t="n">
        <v>45757</v>
      </c>
      <c r="E254" s="1" t="n">
        <v>46291</v>
      </c>
      <c r="F254" t="inlineStr">
        <is>
          <t>JÖNKÖPINGS LÄN</t>
        </is>
      </c>
      <c r="G254" t="inlineStr">
        <is>
          <t>TRANÅS</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17571-2025</t>
        </is>
      </c>
      <c r="B255" t="inlineStr">
        <is>
          <t>avverkningsanmälan</t>
        </is>
      </c>
      <c r="C255" t="inlineStr">
        <is>
          <t>Föryngringsavverkning</t>
        </is>
      </c>
      <c r="D255" s="1" t="n">
        <v>45757</v>
      </c>
      <c r="E255" s="1" t="n">
        <v>46291</v>
      </c>
      <c r="F255" t="inlineStr">
        <is>
          <t>JÖNKÖPINGS LÄN</t>
        </is>
      </c>
      <c r="G255" t="inlineStr">
        <is>
          <t>TRANÅS</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36105-2024</t>
        </is>
      </c>
      <c r="B256" t="inlineStr">
        <is>
          <t>avverkningsanmälan</t>
        </is>
      </c>
      <c r="C256" t="inlineStr">
        <is>
          <t>Föryngringsavverkning</t>
        </is>
      </c>
      <c r="D256" s="1" t="n">
        <v>45533</v>
      </c>
      <c r="E256" s="1" t="n">
        <v>46291</v>
      </c>
      <c r="F256" t="inlineStr">
        <is>
          <t>JÖNKÖPINGS LÄN</t>
        </is>
      </c>
      <c r="G256" t="inlineStr">
        <is>
          <t>TRANÅS</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2375-2023</t>
        </is>
      </c>
      <c r="B257" t="inlineStr">
        <is>
          <t>avverkningsanmälan</t>
        </is>
      </c>
      <c r="C257" t="inlineStr">
        <is>
          <t>Föryngringsavverkning</t>
        </is>
      </c>
      <c r="D257" s="1" t="n">
        <v>44942</v>
      </c>
      <c r="E257" s="1" t="n">
        <v>46291</v>
      </c>
      <c r="F257" t="inlineStr">
        <is>
          <t>JÖNKÖPINGS LÄN</t>
        </is>
      </c>
      <c r="G257" t="inlineStr">
        <is>
          <t>TRANÅS</t>
        </is>
      </c>
      <c r="H257" t="inlineStr">
        <is>
          <t>Kommuner</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9229-2025</t>
        </is>
      </c>
      <c r="B258" t="inlineStr">
        <is>
          <t>avverkningsanmälan</t>
        </is>
      </c>
      <c r="C258" t="inlineStr">
        <is>
          <t>Föryngringsavverkning</t>
        </is>
      </c>
      <c r="D258" s="1" t="n">
        <v>45713</v>
      </c>
      <c r="E258" s="1" t="n">
        <v>46291</v>
      </c>
      <c r="F258" t="inlineStr">
        <is>
          <t>JÖNKÖPINGS LÄN</t>
        </is>
      </c>
      <c r="G258" t="inlineStr">
        <is>
          <t>TRANÅS</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8999-2025</t>
        </is>
      </c>
      <c r="B259" t="inlineStr">
        <is>
          <t>avverkningsanmälan</t>
        </is>
      </c>
      <c r="C259" t="inlineStr">
        <is>
          <t>Föryngringsavverkning</t>
        </is>
      </c>
      <c r="D259" s="1" t="n">
        <v>45712</v>
      </c>
      <c r="E259" s="1" t="n">
        <v>46291</v>
      </c>
      <c r="F259" t="inlineStr">
        <is>
          <t>JÖNKÖPINGS LÄN</t>
        </is>
      </c>
      <c r="G259" t="inlineStr">
        <is>
          <t>TRANÅS</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2379-2023</t>
        </is>
      </c>
      <c r="B260" t="inlineStr">
        <is>
          <t>avverkningsanmälan</t>
        </is>
      </c>
      <c r="C260" t="inlineStr">
        <is>
          <t>Föryngringsavverkning</t>
        </is>
      </c>
      <c r="D260" s="1" t="n">
        <v>44942</v>
      </c>
      <c r="E260" s="1" t="n">
        <v>46291</v>
      </c>
      <c r="F260" t="inlineStr">
        <is>
          <t>JÖNKÖPINGS LÄN</t>
        </is>
      </c>
      <c r="G260" t="inlineStr">
        <is>
          <t>TRANÅS</t>
        </is>
      </c>
      <c r="H260" t="inlineStr">
        <is>
          <t>Kommuner</t>
        </is>
      </c>
      <c r="I260" t="n">
        <v>5.7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57983-2024</t>
        </is>
      </c>
      <c r="B261" t="inlineStr">
        <is>
          <t>avverkningsanmälan</t>
        </is>
      </c>
      <c r="C261" t="inlineStr">
        <is>
          <t>Föryngringsavverkning</t>
        </is>
      </c>
      <c r="D261" s="1" t="n">
        <v>45631</v>
      </c>
      <c r="E261" s="1" t="n">
        <v>46291</v>
      </c>
      <c r="F261" t="inlineStr">
        <is>
          <t>JÖNKÖPINGS LÄN</t>
        </is>
      </c>
      <c r="G261" t="inlineStr">
        <is>
          <t>TRANÅS</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45787-2023</t>
        </is>
      </c>
      <c r="B262" t="inlineStr">
        <is>
          <t>avverkningsanmälan</t>
        </is>
      </c>
      <c r="C262" t="inlineStr">
        <is>
          <t>Föryngringsavverkning</t>
        </is>
      </c>
      <c r="D262" s="1" t="n">
        <v>45195</v>
      </c>
      <c r="E262" s="1" t="n">
        <v>46291</v>
      </c>
      <c r="F262" t="inlineStr">
        <is>
          <t>JÖNKÖPINGS LÄN</t>
        </is>
      </c>
      <c r="G262" t="inlineStr">
        <is>
          <t>TRANÅS</t>
        </is>
      </c>
      <c r="I262" t="n">
        <v>9.300000000000001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20810-2025</t>
        </is>
      </c>
      <c r="B263" t="inlineStr">
        <is>
          <t>avverkningsanmälan</t>
        </is>
      </c>
      <c r="C263" t="inlineStr">
        <is>
          <t>Föryngringsavverkning</t>
        </is>
      </c>
      <c r="D263" s="1" t="n">
        <v>45776</v>
      </c>
      <c r="E263" s="1" t="n">
        <v>46291</v>
      </c>
      <c r="F263" t="inlineStr">
        <is>
          <t>JÖNKÖPINGS LÄN</t>
        </is>
      </c>
      <c r="G263" t="inlineStr">
        <is>
          <t>TRANÅS</t>
        </is>
      </c>
      <c r="H263" t="inlineStr">
        <is>
          <t>Allmännings- och besparingsskogar</t>
        </is>
      </c>
      <c r="I263" t="n">
        <v>13.8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30647-2024</t>
        </is>
      </c>
      <c r="B264" t="inlineStr">
        <is>
          <t>avverkningsanmälan</t>
        </is>
      </c>
      <c r="C264" t="inlineStr">
        <is>
          <t>Föryngringsavverkning</t>
        </is>
      </c>
      <c r="D264" s="1" t="n">
        <v>45495</v>
      </c>
      <c r="E264" s="1" t="n">
        <v>46291</v>
      </c>
      <c r="F264" t="inlineStr">
        <is>
          <t>JÖNKÖPINGS LÄN</t>
        </is>
      </c>
      <c r="G264" t="inlineStr">
        <is>
          <t>TRANÅS</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22430-2025</t>
        </is>
      </c>
      <c r="B265" t="inlineStr">
        <is>
          <t>avverkningsanmälan</t>
        </is>
      </c>
      <c r="C265" t="inlineStr">
        <is>
          <t>Föryngringsavverkning</t>
        </is>
      </c>
      <c r="D265" s="1" t="n">
        <v>45786</v>
      </c>
      <c r="E265" s="1" t="n">
        <v>46291</v>
      </c>
      <c r="F265" t="inlineStr">
        <is>
          <t>JÖNKÖPINGS LÄN</t>
        </is>
      </c>
      <c r="G265" t="inlineStr">
        <is>
          <t>TRANÅS</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22620-2025</t>
        </is>
      </c>
      <c r="B266" t="inlineStr">
        <is>
          <t>avverkningsanmälan</t>
        </is>
      </c>
      <c r="C266" t="inlineStr">
        <is>
          <t>Föryngringsavverkning</t>
        </is>
      </c>
      <c r="D266" s="1" t="n">
        <v>45789</v>
      </c>
      <c r="E266" s="1" t="n">
        <v>46291</v>
      </c>
      <c r="F266" t="inlineStr">
        <is>
          <t>JÖNKÖPINGS LÄN</t>
        </is>
      </c>
      <c r="G266" t="inlineStr">
        <is>
          <t>TRANÅS</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20990-2024</t>
        </is>
      </c>
      <c r="B267" t="inlineStr">
        <is>
          <t>avverkningsanmälan</t>
        </is>
      </c>
      <c r="C267" t="inlineStr">
        <is>
          <t>Avverkning för annat ändamål</t>
        </is>
      </c>
      <c r="D267" s="1" t="n">
        <v>45439</v>
      </c>
      <c r="E267" s="1" t="n">
        <v>46291</v>
      </c>
      <c r="F267" t="inlineStr">
        <is>
          <t>JÖNKÖPINGS LÄN</t>
        </is>
      </c>
      <c r="G267" t="inlineStr">
        <is>
          <t>TRANÅS</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62578-2023</t>
        </is>
      </c>
      <c r="B268" t="inlineStr">
        <is>
          <t>avverkningsanmälan</t>
        </is>
      </c>
      <c r="C268" t="inlineStr">
        <is>
          <t>Föryngringsavverkning</t>
        </is>
      </c>
      <c r="D268" s="1" t="n">
        <v>45270</v>
      </c>
      <c r="E268" s="1" t="n">
        <v>46291</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33213-2023</t>
        </is>
      </c>
      <c r="B269" t="inlineStr">
        <is>
          <t>avverkningsanmälan</t>
        </is>
      </c>
      <c r="C269" t="inlineStr">
        <is>
          <t>Föryngringsavverkning</t>
        </is>
      </c>
      <c r="D269" s="1" t="n">
        <v>45114</v>
      </c>
      <c r="E269" s="1" t="n">
        <v>46291</v>
      </c>
      <c r="F269" t="inlineStr">
        <is>
          <t>JÖNKÖPINGS LÄN</t>
        </is>
      </c>
      <c r="G269" t="inlineStr">
        <is>
          <t>TRANÅS</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39648-2024</t>
        </is>
      </c>
      <c r="B270" t="inlineStr">
        <is>
          <t>avverkningsanmälan</t>
        </is>
      </c>
      <c r="C270" t="inlineStr">
        <is>
          <t>Föryngringsavverkning</t>
        </is>
      </c>
      <c r="D270" s="1" t="n">
        <v>45552</v>
      </c>
      <c r="E270" s="1" t="n">
        <v>46291</v>
      </c>
      <c r="F270" t="inlineStr">
        <is>
          <t>JÖNKÖPINGS LÄN</t>
        </is>
      </c>
      <c r="G270" t="inlineStr">
        <is>
          <t>TRANÅS</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1793-2022</t>
        </is>
      </c>
      <c r="B271" t="inlineStr">
        <is>
          <t>samrådsanmälan</t>
        </is>
      </c>
      <c r="C271" t="inlineStr">
        <is>
          <t>Åtgärd i nyckelbiotop</t>
        </is>
      </c>
      <c r="D271" s="1" t="n">
        <v>44655</v>
      </c>
      <c r="E271" s="1" t="n">
        <v>46291</v>
      </c>
      <c r="F271" t="inlineStr">
        <is>
          <t>JÖNKÖPINGS LÄN</t>
        </is>
      </c>
      <c r="G271" t="inlineStr">
        <is>
          <t>TRANÅS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46291</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1264-2023</t>
        </is>
      </c>
      <c r="B273" t="inlineStr">
        <is>
          <t>samrådsanmälan</t>
        </is>
      </c>
      <c r="C273" t="inlineStr">
        <is>
          <t>Askåterföring</t>
        </is>
      </c>
      <c r="D273" s="1" t="n">
        <v>45029</v>
      </c>
      <c r="E273" s="1" t="n">
        <v>46291</v>
      </c>
      <c r="F273" t="inlineStr">
        <is>
          <t>JÖNKÖPINGS LÄN</t>
        </is>
      </c>
      <c r="G273" t="inlineStr">
        <is>
          <t>TRANÅS</t>
        </is>
      </c>
      <c r="I273" t="n">
        <v>48.7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1894-2023</t>
        </is>
      </c>
      <c r="B274" t="inlineStr">
        <is>
          <t>samrådsanmälan</t>
        </is>
      </c>
      <c r="C274" t="inlineStr">
        <is>
          <t>Askåterföring</t>
        </is>
      </c>
      <c r="D274" s="1" t="n">
        <v>45077</v>
      </c>
      <c r="E274" s="1" t="n">
        <v>46291</v>
      </c>
      <c r="F274" t="inlineStr">
        <is>
          <t>JÖNKÖPINGS LÄN</t>
        </is>
      </c>
      <c r="G274" t="inlineStr">
        <is>
          <t>TRANÅS</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8486-2021</t>
        </is>
      </c>
      <c r="B275" t="inlineStr">
        <is>
          <t>samrådsanmälan</t>
        </is>
      </c>
      <c r="C275" t="inlineStr">
        <is>
          <t>Åtgärd i nyckelbiotop</t>
        </is>
      </c>
      <c r="D275" s="1" t="n">
        <v>44498</v>
      </c>
      <c r="E275" s="1" t="n">
        <v>46291</v>
      </c>
      <c r="F275" t="inlineStr">
        <is>
          <t>JÖNKÖPINGS LÄN</t>
        </is>
      </c>
      <c r="G275" t="inlineStr">
        <is>
          <t>TRANÅS</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1062-2024</t>
        </is>
      </c>
      <c r="B276" t="inlineStr">
        <is>
          <t>samrådsanmälan</t>
        </is>
      </c>
      <c r="C276" t="inlineStr">
        <is>
          <t>Askåterföring</t>
        </is>
      </c>
      <c r="D276" s="1" t="n">
        <v>45387</v>
      </c>
      <c r="E276" s="1" t="n">
        <v>46291</v>
      </c>
      <c r="F276" t="inlineStr">
        <is>
          <t>JÖNKÖPINGS LÄN</t>
        </is>
      </c>
      <c r="G276" t="inlineStr">
        <is>
          <t>TRANÅS</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3362-2025</t>
        </is>
      </c>
      <c r="B277" t="inlineStr">
        <is>
          <t>samrådsanmälan</t>
        </is>
      </c>
      <c r="C277" t="inlineStr">
        <is>
          <t>Annan skogsbruksåtgärd</t>
        </is>
      </c>
      <c r="D277" s="1" t="n">
        <v>45992</v>
      </c>
      <c r="E277" s="1" t="n">
        <v>46291</v>
      </c>
      <c r="F277" t="inlineStr">
        <is>
          <t>JÖNKÖPINGS LÄN</t>
        </is>
      </c>
      <c r="G277" t="inlineStr">
        <is>
          <t>TRANÅS</t>
        </is>
      </c>
      <c r="I277" t="n">
        <v>1.7</v>
      </c>
      <c r="J277" t="n">
        <v>0</v>
      </c>
      <c r="K277" t="n">
        <v>0</v>
      </c>
      <c r="L277" t="n">
        <v>0</v>
      </c>
      <c r="M277" t="n">
        <v>0</v>
      </c>
      <c r="N277" t="n">
        <v>0</v>
      </c>
      <c r="O277" t="n">
        <v>0</v>
      </c>
      <c r="P277" t="n">
        <v>0</v>
      </c>
      <c r="Q277" t="n">
        <v>0</v>
      </c>
      <c r="R277" t="n">
        <v>0</v>
      </c>
      <c r="S277" t="n">
        <v>0</v>
      </c>
      <c r="T277" t="n">
        <v>0</v>
      </c>
      <c r="U277" t="n">
        <v>0</v>
      </c>
      <c r="V277" s="2" t="inlineStr"/>
    </row>
    <row r="278">
      <c r="A278" t="inlineStr">
        <is>
          <t>S 179-2026</t>
        </is>
      </c>
      <c r="B278" t="inlineStr">
        <is>
          <t>samrådsanmälan</t>
        </is>
      </c>
      <c r="C278" t="inlineStr">
        <is>
          <t>Annan skogsbruksåtgärd</t>
        </is>
      </c>
      <c r="D278" s="1" t="n">
        <v>46045</v>
      </c>
      <c r="E278" s="1" t="n">
        <v>46291</v>
      </c>
      <c r="F278" t="inlineStr">
        <is>
          <t>JÖNKÖPINGS LÄN</t>
        </is>
      </c>
      <c r="G278" t="inlineStr">
        <is>
          <t>TRANÅS</t>
        </is>
      </c>
      <c r="I278" t="n">
        <v>4.6</v>
      </c>
      <c r="J278" t="n">
        <v>0</v>
      </c>
      <c r="K278" t="n">
        <v>0</v>
      </c>
      <c r="L278" t="n">
        <v>0</v>
      </c>
      <c r="M278" t="n">
        <v>0</v>
      </c>
      <c r="N278" t="n">
        <v>0</v>
      </c>
      <c r="O278" t="n">
        <v>0</v>
      </c>
      <c r="P278" t="n">
        <v>0</v>
      </c>
      <c r="Q278" t="n">
        <v>0</v>
      </c>
      <c r="R278" t="n">
        <v>0</v>
      </c>
      <c r="S278" t="n">
        <v>0</v>
      </c>
      <c r="T278" t="n">
        <v>0</v>
      </c>
      <c r="U278" t="n">
        <v>0</v>
      </c>
      <c r="V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2026-09-26T02:05:37Z</dcterms:created>
  <dcterms:modified xmlns:dcterms="http://purl.org/dc/terms/" xmlns:xsi="http://www.w3.org/2001/XMLSchema-instance" xsi:type="dcterms:W3CDTF">2026-09-26T02:05:38Z</dcterms:modified>
</cp:coreProperties>
</file>