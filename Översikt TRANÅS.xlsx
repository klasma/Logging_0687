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45584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45584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4529-2024</t>
        </is>
      </c>
      <c r="B4" s="1" t="n">
        <v>45327</v>
      </c>
      <c r="C4" s="1" t="n">
        <v>45584</v>
      </c>
      <c r="D4" t="inlineStr">
        <is>
          <t>JÖNKÖPINGS LÄN</t>
        </is>
      </c>
      <c r="E4" t="inlineStr">
        <is>
          <t>TRANÅS</t>
        </is>
      </c>
      <c r="F4" t="inlineStr">
        <is>
          <t>Allmännings- och besparingsskogar</t>
        </is>
      </c>
      <c r="G4" t="n">
        <v>7.1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Lopplummer
Revlummer</t>
        </is>
      </c>
      <c r="S4">
        <f>HYPERLINK("https://klasma.github.io/Logging_0687/artfynd/A 4529-2024 artfynd.xlsx", "A 4529-2024")</f>
        <v/>
      </c>
      <c r="T4">
        <f>HYPERLINK("https://klasma.github.io/Logging_0687/kartor/A 4529-2024 karta.png", "A 4529-2024")</f>
        <v/>
      </c>
      <c r="U4">
        <f>HYPERLINK("https://klasma.github.io/Logging_0687/knärot/A 4529-2024 karta knärot.png", "A 4529-2024")</f>
        <v/>
      </c>
      <c r="V4">
        <f>HYPERLINK("https://klasma.github.io/Logging_0687/klagomål/A 4529-2024 FSC-klagomål.docx", "A 4529-2024")</f>
        <v/>
      </c>
      <c r="W4">
        <f>HYPERLINK("https://klasma.github.io/Logging_0687/klagomålsmail/A 4529-2024 FSC-klagomål mail.docx", "A 4529-2024")</f>
        <v/>
      </c>
      <c r="X4">
        <f>HYPERLINK("https://klasma.github.io/Logging_0687/tillsyn/A 4529-2024 tillsynsbegäran.docx", "A 4529-2024")</f>
        <v/>
      </c>
      <c r="Y4">
        <f>HYPERLINK("https://klasma.github.io/Logging_0687/tillsynsmail/A 4529-2024 tillsynsbegäran mail.docx", "A 4529-2024")</f>
        <v/>
      </c>
    </row>
    <row r="5" ht="15" customHeight="1">
      <c r="A5" t="inlineStr">
        <is>
          <t>A 18316-2024</t>
        </is>
      </c>
      <c r="B5" s="1" t="n">
        <v>45422</v>
      </c>
      <c r="C5" s="1" t="n">
        <v>45584</v>
      </c>
      <c r="D5" t="inlineStr">
        <is>
          <t>JÖNKÖPINGS LÄN</t>
        </is>
      </c>
      <c r="E5" t="inlineStr">
        <is>
          <t>TRANÅS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Gransotdyna
Bårdlav
Kornig nållav
Rostfläck</t>
        </is>
      </c>
      <c r="S5">
        <f>HYPERLINK("https://klasma.github.io/Logging_0687/artfynd/A 18316-2024 artfynd.xlsx", "A 18316-2024")</f>
        <v/>
      </c>
      <c r="T5">
        <f>HYPERLINK("https://klasma.github.io/Logging_0687/kartor/A 18316-2024 karta.png", "A 18316-2024")</f>
        <v/>
      </c>
      <c r="V5">
        <f>HYPERLINK("https://klasma.github.io/Logging_0687/klagomål/A 18316-2024 FSC-klagomål.docx", "A 18316-2024")</f>
        <v/>
      </c>
      <c r="W5">
        <f>HYPERLINK("https://klasma.github.io/Logging_0687/klagomålsmail/A 18316-2024 FSC-klagomål mail.docx", "A 18316-2024")</f>
        <v/>
      </c>
      <c r="X5">
        <f>HYPERLINK("https://klasma.github.io/Logging_0687/tillsyn/A 18316-2024 tillsynsbegäran.docx", "A 18316-2024")</f>
        <v/>
      </c>
      <c r="Y5">
        <f>HYPERLINK("https://klasma.github.io/Logging_0687/tillsynsmail/A 18316-2024 tillsynsbegäran mail.docx", "A 18316-2024")</f>
        <v/>
      </c>
    </row>
    <row r="6" ht="15" customHeight="1">
      <c r="A6" t="inlineStr">
        <is>
          <t>A 43160-2019</t>
        </is>
      </c>
      <c r="B6" s="1" t="n">
        <v>43705</v>
      </c>
      <c r="C6" s="1" t="n">
        <v>45584</v>
      </c>
      <c r="D6" t="inlineStr">
        <is>
          <t>JÖNKÖPINGS LÄN</t>
        </is>
      </c>
      <c r="E6" t="inlineStr">
        <is>
          <t>TRANÅS</t>
        </is>
      </c>
      <c r="G6" t="n">
        <v>4.8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Thomsons trägnagare
Vågbandad barkbock</t>
        </is>
      </c>
      <c r="S6">
        <f>HYPERLINK("https://klasma.github.io/Logging_0687/artfynd/A 43160-2019 artfynd.xlsx", "A 43160-2019")</f>
        <v/>
      </c>
      <c r="T6">
        <f>HYPERLINK("https://klasma.github.io/Logging_0687/kartor/A 43160-2019 karta.png", "A 43160-2019")</f>
        <v/>
      </c>
      <c r="V6">
        <f>HYPERLINK("https://klasma.github.io/Logging_0687/klagomål/A 43160-2019 FSC-klagomål.docx", "A 43160-2019")</f>
        <v/>
      </c>
      <c r="W6">
        <f>HYPERLINK("https://klasma.github.io/Logging_0687/klagomålsmail/A 43160-2019 FSC-klagomål mail.docx", "A 43160-2019")</f>
        <v/>
      </c>
      <c r="X6">
        <f>HYPERLINK("https://klasma.github.io/Logging_0687/tillsyn/A 43160-2019 tillsynsbegäran.docx", "A 43160-2019")</f>
        <v/>
      </c>
      <c r="Y6">
        <f>HYPERLINK("https://klasma.github.io/Logging_0687/tillsynsmail/A 43160-2019 tillsynsbegäran mail.docx", "A 43160-2019")</f>
        <v/>
      </c>
    </row>
    <row r="7" ht="15" customHeight="1">
      <c r="A7" t="inlineStr">
        <is>
          <t>A 16602-2023</t>
        </is>
      </c>
      <c r="B7" s="1" t="n">
        <v>45027</v>
      </c>
      <c r="C7" s="1" t="n">
        <v>45584</v>
      </c>
      <c r="D7" t="inlineStr">
        <is>
          <t>JÖNKÖPINGS LÄN</t>
        </is>
      </c>
      <c r="E7" t="inlineStr">
        <is>
          <t>TRANÅS</t>
        </is>
      </c>
      <c r="G7" t="n">
        <v>2.1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Skogsbräsma
Vårärt</t>
        </is>
      </c>
      <c r="S7">
        <f>HYPERLINK("https://klasma.github.io/Logging_0687/artfynd/A 16602-2023 artfynd.xlsx", "A 16602-2023")</f>
        <v/>
      </c>
      <c r="T7">
        <f>HYPERLINK("https://klasma.github.io/Logging_0687/kartor/A 16602-2023 karta.png", "A 16602-2023")</f>
        <v/>
      </c>
      <c r="V7">
        <f>HYPERLINK("https://klasma.github.io/Logging_0687/klagomål/A 16602-2023 FSC-klagomål.docx", "A 16602-2023")</f>
        <v/>
      </c>
      <c r="W7">
        <f>HYPERLINK("https://klasma.github.io/Logging_0687/klagomålsmail/A 16602-2023 FSC-klagomål mail.docx", "A 16602-2023")</f>
        <v/>
      </c>
      <c r="X7">
        <f>HYPERLINK("https://klasma.github.io/Logging_0687/tillsyn/A 16602-2023 tillsynsbegäran.docx", "A 16602-2023")</f>
        <v/>
      </c>
      <c r="Y7">
        <f>HYPERLINK("https://klasma.github.io/Logging_0687/tillsynsmail/A 16602-2023 tillsynsbegäran mail.docx", "A 16602-2023")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45584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45584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45584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45584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45584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45584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45584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29990-2019</t>
        </is>
      </c>
      <c r="B15" s="1" t="n">
        <v>43633</v>
      </c>
      <c r="C15" s="1" t="n">
        <v>45584</v>
      </c>
      <c r="D15" t="inlineStr">
        <is>
          <t>JÖNKÖPINGS LÄN</t>
        </is>
      </c>
      <c r="E15" t="inlineStr">
        <is>
          <t>TRANÅS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HYPERLINK("https://klasma.github.io/Logging_0687/artfynd/A 29990-2019 artfynd.xlsx", "A 29990-2019")</f>
        <v/>
      </c>
      <c r="T15">
        <f>HYPERLINK("https://klasma.github.io/Logging_0687/kartor/A 29990-2019 karta.png", "A 29990-2019")</f>
        <v/>
      </c>
      <c r="V15">
        <f>HYPERLINK("https://klasma.github.io/Logging_0687/klagomål/A 29990-2019 FSC-klagomål.docx", "A 29990-2019")</f>
        <v/>
      </c>
      <c r="W15">
        <f>HYPERLINK("https://klasma.github.io/Logging_0687/klagomålsmail/A 29990-2019 FSC-klagomål mail.docx", "A 29990-2019")</f>
        <v/>
      </c>
      <c r="X15">
        <f>HYPERLINK("https://klasma.github.io/Logging_0687/tillsyn/A 29990-2019 tillsynsbegäran.docx", "A 29990-2019")</f>
        <v/>
      </c>
      <c r="Y15">
        <f>HYPERLINK("https://klasma.github.io/Logging_0687/tillsynsmail/A 29990-2019 tillsynsbegäran mail.docx", "A 29990-2019")</f>
        <v/>
      </c>
    </row>
    <row r="16" ht="15" customHeight="1">
      <c r="A16" t="inlineStr">
        <is>
          <t>A 40949-2019</t>
        </is>
      </c>
      <c r="B16" s="1" t="n">
        <v>43697</v>
      </c>
      <c r="C16" s="1" t="n">
        <v>45584</v>
      </c>
      <c r="D16" t="inlineStr">
        <is>
          <t>JÖNKÖPINGS LÄN</t>
        </is>
      </c>
      <c r="E16" t="inlineStr">
        <is>
          <t>TRANÅS</t>
        </is>
      </c>
      <c r="G16" t="n">
        <v>5.7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HYPERLINK("https://klasma.github.io/Logging_0687/artfynd/A 40949-2019 artfynd.xlsx", "A 40949-2019")</f>
        <v/>
      </c>
      <c r="T16">
        <f>HYPERLINK("https://klasma.github.io/Logging_0687/kartor/A 40949-2019 karta.png", "A 40949-2019")</f>
        <v/>
      </c>
      <c r="U16">
        <f>HYPERLINK("https://klasma.github.io/Logging_0687/knärot/A 40949-2019 karta knärot.png", "A 40949-2019")</f>
        <v/>
      </c>
      <c r="V16">
        <f>HYPERLINK("https://klasma.github.io/Logging_0687/klagomål/A 40949-2019 FSC-klagomål.docx", "A 40949-2019")</f>
        <v/>
      </c>
      <c r="W16">
        <f>HYPERLINK("https://klasma.github.io/Logging_0687/klagomålsmail/A 40949-2019 FSC-klagomål mail.docx", "A 40949-2019")</f>
        <v/>
      </c>
      <c r="X16">
        <f>HYPERLINK("https://klasma.github.io/Logging_0687/tillsyn/A 40949-2019 tillsynsbegäran.docx", "A 40949-2019")</f>
        <v/>
      </c>
      <c r="Y16">
        <f>HYPERLINK("https://klasma.github.io/Logging_0687/tillsynsmail/A 40949-2019 tillsynsbegäran mail.docx", "A 40949-2019")</f>
        <v/>
      </c>
    </row>
    <row r="17" ht="15" customHeight="1">
      <c r="A17" t="inlineStr">
        <is>
          <t>A 54655-2019</t>
        </is>
      </c>
      <c r="B17" s="1" t="n">
        <v>43754</v>
      </c>
      <c r="C17" s="1" t="n">
        <v>45584</v>
      </c>
      <c r="D17" t="inlineStr">
        <is>
          <t>JÖNKÖPINGS LÄN</t>
        </is>
      </c>
      <c r="E17" t="inlineStr">
        <is>
          <t>TRANÅS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54655-2019 artfynd.xlsx", "A 54655-2019")</f>
        <v/>
      </c>
      <c r="T17">
        <f>HYPERLINK("https://klasma.github.io/Logging_0687/kartor/A 54655-2019 karta.png", "A 54655-2019")</f>
        <v/>
      </c>
      <c r="V17">
        <f>HYPERLINK("https://klasma.github.io/Logging_0687/klagomål/A 54655-2019 FSC-klagomål.docx", "A 54655-2019")</f>
        <v/>
      </c>
      <c r="W17">
        <f>HYPERLINK("https://klasma.github.io/Logging_0687/klagomålsmail/A 54655-2019 FSC-klagomål mail.docx", "A 54655-2019")</f>
        <v/>
      </c>
      <c r="X17">
        <f>HYPERLINK("https://klasma.github.io/Logging_0687/tillsyn/A 54655-2019 tillsynsbegäran.docx", "A 54655-2019")</f>
        <v/>
      </c>
      <c r="Y17">
        <f>HYPERLINK("https://klasma.github.io/Logging_0687/tillsynsmail/A 54655-2019 tillsynsbegäran mail.docx", "A 54655-2019")</f>
        <v/>
      </c>
    </row>
    <row r="18" ht="15" customHeight="1">
      <c r="A18" t="inlineStr">
        <is>
          <t>A 62740-2019</t>
        </is>
      </c>
      <c r="B18" s="1" t="n">
        <v>43790</v>
      </c>
      <c r="C18" s="1" t="n">
        <v>45584</v>
      </c>
      <c r="D18" t="inlineStr">
        <is>
          <t>JÖNKÖPINGS LÄN</t>
        </is>
      </c>
      <c r="E18" t="inlineStr">
        <is>
          <t>TRANÅS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HYPERLINK("https://klasma.github.io/Logging_0687/artfynd/A 62740-2019 artfynd.xlsx", "A 62740-2019")</f>
        <v/>
      </c>
      <c r="T18">
        <f>HYPERLINK("https://klasma.github.io/Logging_0687/kartor/A 62740-2019 karta.png", "A 62740-2019")</f>
        <v/>
      </c>
      <c r="V18">
        <f>HYPERLINK("https://klasma.github.io/Logging_0687/klagomål/A 62740-2019 FSC-klagomål.docx", "A 62740-2019")</f>
        <v/>
      </c>
      <c r="W18">
        <f>HYPERLINK("https://klasma.github.io/Logging_0687/klagomålsmail/A 62740-2019 FSC-klagomål mail.docx", "A 62740-2019")</f>
        <v/>
      </c>
      <c r="X18">
        <f>HYPERLINK("https://klasma.github.io/Logging_0687/tillsyn/A 62740-2019 tillsynsbegäran.docx", "A 62740-2019")</f>
        <v/>
      </c>
      <c r="Y18">
        <f>HYPERLINK("https://klasma.github.io/Logging_0687/tillsynsmail/A 62740-2019 tillsynsbegäran mail.docx", "A 62740-2019")</f>
        <v/>
      </c>
    </row>
    <row r="19" ht="15" customHeight="1">
      <c r="A19" t="inlineStr">
        <is>
          <t>A 67740-2019</t>
        </is>
      </c>
      <c r="B19" s="1" t="n">
        <v>43809</v>
      </c>
      <c r="C19" s="1" t="n">
        <v>45584</v>
      </c>
      <c r="D19" t="inlineStr">
        <is>
          <t>JÖNKÖPINGS LÄN</t>
        </is>
      </c>
      <c r="E19" t="inlineStr">
        <is>
          <t>TRANÅS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HYPERLINK("https://klasma.github.io/Logging_0687/artfynd/A 67740-2019 artfynd.xlsx", "A 67740-2019")</f>
        <v/>
      </c>
      <c r="T19">
        <f>HYPERLINK("https://klasma.github.io/Logging_0687/kartor/A 67740-2019 karta.png", "A 67740-2019")</f>
        <v/>
      </c>
      <c r="V19">
        <f>HYPERLINK("https://klasma.github.io/Logging_0687/klagomål/A 67740-2019 FSC-klagomål.docx", "A 67740-2019")</f>
        <v/>
      </c>
      <c r="W19">
        <f>HYPERLINK("https://klasma.github.io/Logging_0687/klagomålsmail/A 67740-2019 FSC-klagomål mail.docx", "A 67740-2019")</f>
        <v/>
      </c>
      <c r="X19">
        <f>HYPERLINK("https://klasma.github.io/Logging_0687/tillsyn/A 67740-2019 tillsynsbegäran.docx", "A 67740-2019")</f>
        <v/>
      </c>
      <c r="Y19">
        <f>HYPERLINK("https://klasma.github.io/Logging_0687/tillsynsmail/A 67740-2019 tillsynsbegäran mail.docx", "A 67740-2019")</f>
        <v/>
      </c>
    </row>
    <row r="20" ht="15" customHeight="1">
      <c r="A20" t="inlineStr">
        <is>
          <t>A 67742-2019</t>
        </is>
      </c>
      <c r="B20" s="1" t="n">
        <v>43809</v>
      </c>
      <c r="C20" s="1" t="n">
        <v>45584</v>
      </c>
      <c r="D20" t="inlineStr">
        <is>
          <t>JÖNKÖPINGS LÄN</t>
        </is>
      </c>
      <c r="E20" t="inlineStr">
        <is>
          <t>TRANÅS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HYPERLINK("https://klasma.github.io/Logging_0687/artfynd/A 67742-2019 artfynd.xlsx", "A 67742-2019")</f>
        <v/>
      </c>
      <c r="T20">
        <f>HYPERLINK("https://klasma.github.io/Logging_0687/kartor/A 67742-2019 karta.png", "A 67742-2019")</f>
        <v/>
      </c>
      <c r="V20">
        <f>HYPERLINK("https://klasma.github.io/Logging_0687/klagomål/A 67742-2019 FSC-klagomål.docx", "A 67742-2019")</f>
        <v/>
      </c>
      <c r="W20">
        <f>HYPERLINK("https://klasma.github.io/Logging_0687/klagomålsmail/A 67742-2019 FSC-klagomål mail.docx", "A 67742-2019")</f>
        <v/>
      </c>
      <c r="X20">
        <f>HYPERLINK("https://klasma.github.io/Logging_0687/tillsyn/A 67742-2019 tillsynsbegäran.docx", "A 67742-2019")</f>
        <v/>
      </c>
      <c r="Y20">
        <f>HYPERLINK("https://klasma.github.io/Logging_0687/tillsynsmail/A 67742-2019 tillsynsbegäran mail.docx", "A 67742-2019")</f>
        <v/>
      </c>
    </row>
    <row r="21" ht="15" customHeight="1">
      <c r="A21" t="inlineStr">
        <is>
          <t>A 6334-2020</t>
        </is>
      </c>
      <c r="B21" s="1" t="n">
        <v>43866</v>
      </c>
      <c r="C21" s="1" t="n">
        <v>45584</v>
      </c>
      <c r="D21" t="inlineStr">
        <is>
          <t>JÖNKÖPINGS LÄN</t>
        </is>
      </c>
      <c r="E21" t="inlineStr">
        <is>
          <t>TRANÅS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HYPERLINK("https://klasma.github.io/Logging_0687/artfynd/A 6334-2020 artfynd.xlsx", "A 6334-2020")</f>
        <v/>
      </c>
      <c r="T21">
        <f>HYPERLINK("https://klasma.github.io/Logging_0687/kartor/A 6334-2020 karta.png", "A 6334-2020")</f>
        <v/>
      </c>
      <c r="V21">
        <f>HYPERLINK("https://klasma.github.io/Logging_0687/klagomål/A 6334-2020 FSC-klagomål.docx", "A 6334-2020")</f>
        <v/>
      </c>
      <c r="W21">
        <f>HYPERLINK("https://klasma.github.io/Logging_0687/klagomålsmail/A 6334-2020 FSC-klagomål mail.docx", "A 6334-2020")</f>
        <v/>
      </c>
      <c r="X21">
        <f>HYPERLINK("https://klasma.github.io/Logging_0687/tillsyn/A 6334-2020 tillsynsbegäran.docx", "A 6334-2020")</f>
        <v/>
      </c>
      <c r="Y21">
        <f>HYPERLINK("https://klasma.github.io/Logging_0687/tillsynsmail/A 6334-2020 tillsynsbegäran mail.docx", "A 6334-2020")</f>
        <v/>
      </c>
    </row>
    <row r="22" ht="15" customHeight="1">
      <c r="A22" t="inlineStr">
        <is>
          <t>A 27834-2020</t>
        </is>
      </c>
      <c r="B22" s="1" t="n">
        <v>43994</v>
      </c>
      <c r="C22" s="1" t="n">
        <v>45584</v>
      </c>
      <c r="D22" t="inlineStr">
        <is>
          <t>JÖNKÖPINGS LÄN</t>
        </is>
      </c>
      <c r="E22" t="inlineStr">
        <is>
          <t>TRANÅS</t>
        </is>
      </c>
      <c r="F22" t="inlineStr">
        <is>
          <t>Kommuner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HYPERLINK("https://klasma.github.io/Logging_0687/artfynd/A 27834-2020 artfynd.xlsx", "A 27834-2020")</f>
        <v/>
      </c>
      <c r="T22">
        <f>HYPERLINK("https://klasma.github.io/Logging_0687/kartor/A 27834-2020 karta.png", "A 27834-2020")</f>
        <v/>
      </c>
      <c r="V22">
        <f>HYPERLINK("https://klasma.github.io/Logging_0687/klagomål/A 27834-2020 FSC-klagomål.docx", "A 27834-2020")</f>
        <v/>
      </c>
      <c r="W22">
        <f>HYPERLINK("https://klasma.github.io/Logging_0687/klagomålsmail/A 27834-2020 FSC-klagomål mail.docx", "A 27834-2020")</f>
        <v/>
      </c>
      <c r="X22">
        <f>HYPERLINK("https://klasma.github.io/Logging_0687/tillsyn/A 27834-2020 tillsynsbegäran.docx", "A 27834-2020")</f>
        <v/>
      </c>
      <c r="Y22">
        <f>HYPERLINK("https://klasma.github.io/Logging_0687/tillsynsmail/A 27834-2020 tillsynsbegäran mail.docx", "A 27834-2020")</f>
        <v/>
      </c>
    </row>
    <row r="23" ht="15" customHeight="1">
      <c r="A23" t="inlineStr">
        <is>
          <t>A 51215-2020</t>
        </is>
      </c>
      <c r="B23" s="1" t="n">
        <v>44112</v>
      </c>
      <c r="C23" s="1" t="n">
        <v>45584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Storkorgsfibbla</t>
        </is>
      </c>
      <c r="S23">
        <f>HYPERLINK("https://klasma.github.io/Logging_0687/artfynd/A 51215-2020 artfynd.xlsx", "A 51215-2020")</f>
        <v/>
      </c>
      <c r="T23">
        <f>HYPERLINK("https://klasma.github.io/Logging_0687/kartor/A 51215-2020 karta.png", "A 51215-2020")</f>
        <v/>
      </c>
      <c r="V23">
        <f>HYPERLINK("https://klasma.github.io/Logging_0687/klagomål/A 51215-2020 FSC-klagomål.docx", "A 51215-2020")</f>
        <v/>
      </c>
      <c r="W23">
        <f>HYPERLINK("https://klasma.github.io/Logging_0687/klagomålsmail/A 51215-2020 FSC-klagomål mail.docx", "A 51215-2020")</f>
        <v/>
      </c>
      <c r="X23">
        <f>HYPERLINK("https://klasma.github.io/Logging_0687/tillsyn/A 51215-2020 tillsynsbegäran.docx", "A 51215-2020")</f>
        <v/>
      </c>
      <c r="Y23">
        <f>HYPERLINK("https://klasma.github.io/Logging_0687/tillsynsmail/A 51215-2020 tillsynsbegäran mail.docx", "A 51215-2020")</f>
        <v/>
      </c>
    </row>
    <row r="24" ht="15" customHeight="1">
      <c r="A24" t="inlineStr">
        <is>
          <t>A 60658-2020</t>
        </is>
      </c>
      <c r="B24" s="1" t="n">
        <v>44153</v>
      </c>
      <c r="C24" s="1" t="n">
        <v>45584</v>
      </c>
      <c r="D24" t="inlineStr">
        <is>
          <t>JÖNKÖPINGS LÄN</t>
        </is>
      </c>
      <c r="E24" t="inlineStr">
        <is>
          <t>TRANÅS</t>
        </is>
      </c>
      <c r="G24" t="n">
        <v>2.1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HYPERLINK("https://klasma.github.io/Logging_0687/artfynd/A 60658-2020 artfynd.xlsx", "A 60658-2020")</f>
        <v/>
      </c>
      <c r="T24">
        <f>HYPERLINK("https://klasma.github.io/Logging_0687/kartor/A 60658-2020 karta.png", "A 60658-2020")</f>
        <v/>
      </c>
      <c r="V24">
        <f>HYPERLINK("https://klasma.github.io/Logging_0687/klagomål/A 60658-2020 FSC-klagomål.docx", "A 60658-2020")</f>
        <v/>
      </c>
      <c r="W24">
        <f>HYPERLINK("https://klasma.github.io/Logging_0687/klagomålsmail/A 60658-2020 FSC-klagomål mail.docx", "A 60658-2020")</f>
        <v/>
      </c>
      <c r="X24">
        <f>HYPERLINK("https://klasma.github.io/Logging_0687/tillsyn/A 60658-2020 tillsynsbegäran.docx", "A 60658-2020")</f>
        <v/>
      </c>
      <c r="Y24">
        <f>HYPERLINK("https://klasma.github.io/Logging_0687/tillsynsmail/A 60658-2020 tillsynsbegäran mail.docx", "A 60658-2020")</f>
        <v/>
      </c>
    </row>
    <row r="25" ht="15" customHeight="1">
      <c r="A25" t="inlineStr">
        <is>
          <t>A 7365-2021</t>
        </is>
      </c>
      <c r="B25" s="1" t="n">
        <v>44239</v>
      </c>
      <c r="C25" s="1" t="n">
        <v>45584</v>
      </c>
      <c r="D25" t="inlineStr">
        <is>
          <t>JÖNKÖPINGS LÄN</t>
        </is>
      </c>
      <c r="E25" t="inlineStr">
        <is>
          <t>TRANÅS</t>
        </is>
      </c>
      <c r="G25" t="n">
        <v>5.2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Dvärghäxört</t>
        </is>
      </c>
      <c r="S25">
        <f>HYPERLINK("https://klasma.github.io/Logging_0687/artfynd/A 7365-2021 artfynd.xlsx", "A 7365-2021")</f>
        <v/>
      </c>
      <c r="T25">
        <f>HYPERLINK("https://klasma.github.io/Logging_0687/kartor/A 7365-2021 karta.png", "A 7365-2021")</f>
        <v/>
      </c>
      <c r="V25">
        <f>HYPERLINK("https://klasma.github.io/Logging_0687/klagomål/A 7365-2021 FSC-klagomål.docx", "A 7365-2021")</f>
        <v/>
      </c>
      <c r="W25">
        <f>HYPERLINK("https://klasma.github.io/Logging_0687/klagomålsmail/A 7365-2021 FSC-klagomål mail.docx", "A 7365-2021")</f>
        <v/>
      </c>
      <c r="X25">
        <f>HYPERLINK("https://klasma.github.io/Logging_0687/tillsyn/A 7365-2021 tillsynsbegäran.docx", "A 7365-2021")</f>
        <v/>
      </c>
      <c r="Y25">
        <f>HYPERLINK("https://klasma.github.io/Logging_0687/tillsynsmail/A 7365-2021 tillsynsbegäran mail.docx", "A 7365-2021")</f>
        <v/>
      </c>
    </row>
    <row r="26" ht="15" customHeight="1">
      <c r="A26" t="inlineStr">
        <is>
          <t>A 11278-2021</t>
        </is>
      </c>
      <c r="B26" s="1" t="n">
        <v>44262</v>
      </c>
      <c r="C26" s="1" t="n">
        <v>45584</v>
      </c>
      <c r="D26" t="inlineStr">
        <is>
          <t>JÖNKÖPINGS LÄN</t>
        </is>
      </c>
      <c r="E26" t="inlineStr">
        <is>
          <t>TRANÅS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HYPERLINK("https://klasma.github.io/Logging_0687/artfynd/A 11278-2021 artfynd.xlsx", "A 11278-2021")</f>
        <v/>
      </c>
      <c r="T26">
        <f>HYPERLINK("https://klasma.github.io/Logging_0687/kartor/A 11278-2021 karta.png", "A 11278-2021")</f>
        <v/>
      </c>
      <c r="V26">
        <f>HYPERLINK("https://klasma.github.io/Logging_0687/klagomål/A 11278-2021 FSC-klagomål.docx", "A 11278-2021")</f>
        <v/>
      </c>
      <c r="W26">
        <f>HYPERLINK("https://klasma.github.io/Logging_0687/klagomålsmail/A 11278-2021 FSC-klagomål mail.docx", "A 11278-2021")</f>
        <v/>
      </c>
      <c r="X26">
        <f>HYPERLINK("https://klasma.github.io/Logging_0687/tillsyn/A 11278-2021 tillsynsbegäran.docx", "A 11278-2021")</f>
        <v/>
      </c>
      <c r="Y26">
        <f>HYPERLINK("https://klasma.github.io/Logging_0687/tillsynsmail/A 11278-2021 tillsynsbegäran mail.docx", "A 11278-2021")</f>
        <v/>
      </c>
    </row>
    <row r="27" ht="15" customHeight="1">
      <c r="A27" t="inlineStr">
        <is>
          <t>A 26395-2022</t>
        </is>
      </c>
      <c r="B27" s="1" t="n">
        <v>44735</v>
      </c>
      <c r="C27" s="1" t="n">
        <v>45584</v>
      </c>
      <c r="D27" t="inlineStr">
        <is>
          <t>JÖNKÖPINGS LÄN</t>
        </is>
      </c>
      <c r="E27" t="inlineStr">
        <is>
          <t>TRANÅS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Ängsnycklar</t>
        </is>
      </c>
      <c r="S27">
        <f>HYPERLINK("https://klasma.github.io/Logging_0687/artfynd/A 26395-2022 artfynd.xlsx", "A 26395-2022")</f>
        <v/>
      </c>
      <c r="T27">
        <f>HYPERLINK("https://klasma.github.io/Logging_0687/kartor/A 26395-2022 karta.png", "A 26395-2022")</f>
        <v/>
      </c>
      <c r="V27">
        <f>HYPERLINK("https://klasma.github.io/Logging_0687/klagomål/A 26395-2022 FSC-klagomål.docx", "A 26395-2022")</f>
        <v/>
      </c>
      <c r="W27">
        <f>HYPERLINK("https://klasma.github.io/Logging_0687/klagomålsmail/A 26395-2022 FSC-klagomål mail.docx", "A 26395-2022")</f>
        <v/>
      </c>
      <c r="X27">
        <f>HYPERLINK("https://klasma.github.io/Logging_0687/tillsyn/A 26395-2022 tillsynsbegäran.docx", "A 26395-2022")</f>
        <v/>
      </c>
      <c r="Y27">
        <f>HYPERLINK("https://klasma.github.io/Logging_0687/tillsynsmail/A 26395-2022 tillsynsbegäran mail.docx", "A 26395-2022")</f>
        <v/>
      </c>
    </row>
    <row r="28" ht="15" customHeight="1">
      <c r="A28" t="inlineStr">
        <is>
          <t>A 29382-2022</t>
        </is>
      </c>
      <c r="B28" s="1" t="n">
        <v>44753</v>
      </c>
      <c r="C28" s="1" t="n">
        <v>45584</v>
      </c>
      <c r="D28" t="inlineStr">
        <is>
          <t>JÖNKÖPINGS LÄN</t>
        </is>
      </c>
      <c r="E28" t="inlineStr">
        <is>
          <t>TRANÅS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HYPERLINK("https://klasma.github.io/Logging_0687/artfynd/A 29382-2022 artfynd.xlsx", "A 29382-2022")</f>
        <v/>
      </c>
      <c r="T28">
        <f>HYPERLINK("https://klasma.github.io/Logging_0687/kartor/A 29382-2022 karta.png", "A 29382-2022")</f>
        <v/>
      </c>
      <c r="V28">
        <f>HYPERLINK("https://klasma.github.io/Logging_0687/klagomål/A 29382-2022 FSC-klagomål.docx", "A 29382-2022")</f>
        <v/>
      </c>
      <c r="W28">
        <f>HYPERLINK("https://klasma.github.io/Logging_0687/klagomålsmail/A 29382-2022 FSC-klagomål mail.docx", "A 29382-2022")</f>
        <v/>
      </c>
      <c r="X28">
        <f>HYPERLINK("https://klasma.github.io/Logging_0687/tillsyn/A 29382-2022 tillsynsbegäran.docx", "A 29382-2022")</f>
        <v/>
      </c>
      <c r="Y28">
        <f>HYPERLINK("https://klasma.github.io/Logging_0687/tillsynsmail/A 29382-2022 tillsynsbegäran mail.docx", "A 29382-2022")</f>
        <v/>
      </c>
    </row>
    <row r="29" ht="15" customHeight="1">
      <c r="A29" t="inlineStr">
        <is>
          <t>A 12437-2023</t>
        </is>
      </c>
      <c r="B29" s="1" t="n">
        <v>44998</v>
      </c>
      <c r="C29" s="1" t="n">
        <v>45584</v>
      </c>
      <c r="D29" t="inlineStr">
        <is>
          <t>JÖNKÖPINGS LÄN</t>
        </is>
      </c>
      <c r="E29" t="inlineStr">
        <is>
          <t>TRANÅS</t>
        </is>
      </c>
      <c r="G29" t="n">
        <v>10.5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Skogsbräsma</t>
        </is>
      </c>
      <c r="S29">
        <f>HYPERLINK("https://klasma.github.io/Logging_0687/artfynd/A 12437-2023 artfynd.xlsx", "A 12437-2023")</f>
        <v/>
      </c>
      <c r="T29">
        <f>HYPERLINK("https://klasma.github.io/Logging_0687/kartor/A 12437-2023 karta.png", "A 12437-2023")</f>
        <v/>
      </c>
      <c r="V29">
        <f>HYPERLINK("https://klasma.github.io/Logging_0687/klagomål/A 12437-2023 FSC-klagomål.docx", "A 12437-2023")</f>
        <v/>
      </c>
      <c r="W29">
        <f>HYPERLINK("https://klasma.github.io/Logging_0687/klagomålsmail/A 12437-2023 FSC-klagomål mail.docx", "A 12437-2023")</f>
        <v/>
      </c>
      <c r="X29">
        <f>HYPERLINK("https://klasma.github.io/Logging_0687/tillsyn/A 12437-2023 tillsynsbegäran.docx", "A 12437-2023")</f>
        <v/>
      </c>
      <c r="Y29">
        <f>HYPERLINK("https://klasma.github.io/Logging_0687/tillsynsmail/A 12437-2023 tillsynsbegäran mail.docx", "A 12437-2023")</f>
        <v/>
      </c>
    </row>
    <row r="30" ht="15" customHeight="1">
      <c r="A30" t="inlineStr">
        <is>
          <t>A 60263-2023</t>
        </is>
      </c>
      <c r="B30" s="1" t="n">
        <v>45258</v>
      </c>
      <c r="C30" s="1" t="n">
        <v>45584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HYPERLINK("https://klasma.github.io/Logging_0687/artfynd/A 60263-2023 artfynd.xlsx", "A 60263-2023")</f>
        <v/>
      </c>
      <c r="T30">
        <f>HYPERLINK("https://klasma.github.io/Logging_0687/kartor/A 60263-2023 karta.png", "A 60263-2023")</f>
        <v/>
      </c>
      <c r="V30">
        <f>HYPERLINK("https://klasma.github.io/Logging_0687/klagomål/A 60263-2023 FSC-klagomål.docx", "A 60263-2023")</f>
        <v/>
      </c>
      <c r="W30">
        <f>HYPERLINK("https://klasma.github.io/Logging_0687/klagomålsmail/A 60263-2023 FSC-klagomål mail.docx", "A 60263-2023")</f>
        <v/>
      </c>
      <c r="X30">
        <f>HYPERLINK("https://klasma.github.io/Logging_0687/tillsyn/A 60263-2023 tillsynsbegäran.docx", "A 60263-2023")</f>
        <v/>
      </c>
      <c r="Y30">
        <f>HYPERLINK("https://klasma.github.io/Logging_0687/tillsynsmail/A 60263-2023 tillsynsbegäran mail.docx", "A 60263-2023")</f>
        <v/>
      </c>
    </row>
    <row r="31" ht="15" customHeight="1">
      <c r="A31" t="inlineStr">
        <is>
          <t>A 1720-2024</t>
        </is>
      </c>
      <c r="B31" s="1" t="n">
        <v>45307</v>
      </c>
      <c r="C31" s="1" t="n">
        <v>45584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5.6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Ryl</t>
        </is>
      </c>
      <c r="S31">
        <f>HYPERLINK("https://klasma.github.io/Logging_0687/artfynd/A 1720-2024 artfynd.xlsx", "A 1720-2024")</f>
        <v/>
      </c>
      <c r="T31">
        <f>HYPERLINK("https://klasma.github.io/Logging_0687/kartor/A 1720-2024 karta.png", "A 1720-2024")</f>
        <v/>
      </c>
      <c r="V31">
        <f>HYPERLINK("https://klasma.github.io/Logging_0687/klagomål/A 1720-2024 FSC-klagomål.docx", "A 1720-2024")</f>
        <v/>
      </c>
      <c r="W31">
        <f>HYPERLINK("https://klasma.github.io/Logging_0687/klagomålsmail/A 1720-2024 FSC-klagomål mail.docx", "A 1720-2024")</f>
        <v/>
      </c>
      <c r="X31">
        <f>HYPERLINK("https://klasma.github.io/Logging_0687/tillsyn/A 1720-2024 tillsynsbegäran.docx", "A 1720-2024")</f>
        <v/>
      </c>
      <c r="Y31">
        <f>HYPERLINK("https://klasma.github.io/Logging_0687/tillsynsmail/A 1720-2024 tillsynsbegäran mail.docx", "A 1720-2024")</f>
        <v/>
      </c>
    </row>
    <row r="32" ht="15" customHeight="1">
      <c r="A32" t="inlineStr">
        <is>
          <t>A 20822-2024</t>
        </is>
      </c>
      <c r="B32" s="1" t="n">
        <v>45439</v>
      </c>
      <c r="C32" s="1" t="n">
        <v>45584</v>
      </c>
      <c r="D32" t="inlineStr">
        <is>
          <t>JÖNKÖPINGS LÄN</t>
        </is>
      </c>
      <c r="E32" t="inlineStr">
        <is>
          <t>TRANÅS</t>
        </is>
      </c>
      <c r="G32" t="n">
        <v>4.7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Blomkålssvamp</t>
        </is>
      </c>
      <c r="S32">
        <f>HYPERLINK("https://klasma.github.io/Logging_0687/artfynd/A 20822-2024 artfynd.xlsx", "A 20822-2024")</f>
        <v/>
      </c>
      <c r="T32">
        <f>HYPERLINK("https://klasma.github.io/Logging_0687/kartor/A 20822-2024 karta.png", "A 20822-2024")</f>
        <v/>
      </c>
      <c r="V32">
        <f>HYPERLINK("https://klasma.github.io/Logging_0687/klagomål/A 20822-2024 FSC-klagomål.docx", "A 20822-2024")</f>
        <v/>
      </c>
      <c r="W32">
        <f>HYPERLINK("https://klasma.github.io/Logging_0687/klagomålsmail/A 20822-2024 FSC-klagomål mail.docx", "A 20822-2024")</f>
        <v/>
      </c>
      <c r="X32">
        <f>HYPERLINK("https://klasma.github.io/Logging_0687/tillsyn/A 20822-2024 tillsynsbegäran.docx", "A 20822-2024")</f>
        <v/>
      </c>
      <c r="Y32">
        <f>HYPERLINK("https://klasma.github.io/Logging_0687/tillsynsmail/A 20822-2024 tillsynsbegäran mail.docx", "A 20822-2024")</f>
        <v/>
      </c>
    </row>
    <row r="33" ht="15" customHeight="1">
      <c r="A33" t="inlineStr">
        <is>
          <t>A 21531-2024</t>
        </is>
      </c>
      <c r="B33" s="1" t="n">
        <v>45441</v>
      </c>
      <c r="C33" s="1" t="n">
        <v>45584</v>
      </c>
      <c r="D33" t="inlineStr">
        <is>
          <t>JÖNKÖPINGS LÄN</t>
        </is>
      </c>
      <c r="E33" t="inlineStr">
        <is>
          <t>TRANÅS</t>
        </is>
      </c>
      <c r="G33" t="n">
        <v>1.5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Korallrot</t>
        </is>
      </c>
      <c r="S33">
        <f>HYPERLINK("https://klasma.github.io/Logging_0687/artfynd/A 21531-2024 artfynd.xlsx", "A 21531-2024")</f>
        <v/>
      </c>
      <c r="T33">
        <f>HYPERLINK("https://klasma.github.io/Logging_0687/kartor/A 21531-2024 karta.png", "A 21531-2024")</f>
        <v/>
      </c>
      <c r="V33">
        <f>HYPERLINK("https://klasma.github.io/Logging_0687/klagomål/A 21531-2024 FSC-klagomål.docx", "A 21531-2024")</f>
        <v/>
      </c>
      <c r="W33">
        <f>HYPERLINK("https://klasma.github.io/Logging_0687/klagomålsmail/A 21531-2024 FSC-klagomål mail.docx", "A 21531-2024")</f>
        <v/>
      </c>
      <c r="X33">
        <f>HYPERLINK("https://klasma.github.io/Logging_0687/tillsyn/A 21531-2024 tillsynsbegäran.docx", "A 21531-2024")</f>
        <v/>
      </c>
      <c r="Y33">
        <f>HYPERLINK("https://klasma.github.io/Logging_0687/tillsynsmail/A 21531-2024 tillsynsbegäran mail.docx", "A 21531-2024")</f>
        <v/>
      </c>
    </row>
    <row r="34" ht="15" customHeight="1">
      <c r="A34" t="inlineStr">
        <is>
          <t>A 31857-2024</t>
        </is>
      </c>
      <c r="B34" s="1" t="n">
        <v>45509</v>
      </c>
      <c r="C34" s="1" t="n">
        <v>45584</v>
      </c>
      <c r="D34" t="inlineStr">
        <is>
          <t>JÖNKÖPINGS LÄN</t>
        </is>
      </c>
      <c r="E34" t="inlineStr">
        <is>
          <t>TRANÅS</t>
        </is>
      </c>
      <c r="F34" t="inlineStr">
        <is>
          <t>Kommuner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Ryl</t>
        </is>
      </c>
      <c r="S34">
        <f>HYPERLINK("https://klasma.github.io/Logging_0687/artfynd/A 31857-2024 artfynd.xlsx", "A 31857-2024")</f>
        <v/>
      </c>
      <c r="T34">
        <f>HYPERLINK("https://klasma.github.io/Logging_0687/kartor/A 31857-2024 karta.png", "A 31857-2024")</f>
        <v/>
      </c>
      <c r="V34">
        <f>HYPERLINK("https://klasma.github.io/Logging_0687/klagomål/A 31857-2024 FSC-klagomål.docx", "A 31857-2024")</f>
        <v/>
      </c>
      <c r="W34">
        <f>HYPERLINK("https://klasma.github.io/Logging_0687/klagomålsmail/A 31857-2024 FSC-klagomål mail.docx", "A 31857-2024")</f>
        <v/>
      </c>
      <c r="X34">
        <f>HYPERLINK("https://klasma.github.io/Logging_0687/tillsyn/A 31857-2024 tillsynsbegäran.docx", "A 31857-2024")</f>
        <v/>
      </c>
      <c r="Y34">
        <f>HYPERLINK("https://klasma.github.io/Logging_0687/tillsynsmail/A 31857-2024 tillsynsbegäran mail.docx", "A 31857-2024")</f>
        <v/>
      </c>
    </row>
    <row r="35" ht="15" customHeight="1">
      <c r="A35" t="inlineStr">
        <is>
          <t>A 17769-2019</t>
        </is>
      </c>
      <c r="B35" s="1" t="n">
        <v>43556</v>
      </c>
      <c r="C35" s="1" t="n">
        <v>45584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19113-2019</t>
        </is>
      </c>
      <c r="B36" s="1" t="n">
        <v>43563</v>
      </c>
      <c r="C36" s="1" t="n">
        <v>45584</v>
      </c>
      <c r="D36" t="inlineStr">
        <is>
          <t>JÖNKÖPINGS LÄN</t>
        </is>
      </c>
      <c r="E36" t="inlineStr">
        <is>
          <t>TRANÅS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19090-2019</t>
        </is>
      </c>
      <c r="B37" s="1" t="n">
        <v>43564</v>
      </c>
      <c r="C37" s="1" t="n">
        <v>45584</v>
      </c>
      <c r="D37" t="inlineStr">
        <is>
          <t>JÖNKÖPINGS LÄN</t>
        </is>
      </c>
      <c r="E37" t="inlineStr">
        <is>
          <t>TRANÅS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19481-2019</t>
        </is>
      </c>
      <c r="B38" s="1" t="n">
        <v>43565</v>
      </c>
      <c r="C38" s="1" t="n">
        <v>45584</v>
      </c>
      <c r="D38" t="inlineStr">
        <is>
          <t>JÖNKÖPINGS LÄN</t>
        </is>
      </c>
      <c r="E38" t="inlineStr">
        <is>
          <t>TRANÅS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19471-2019</t>
        </is>
      </c>
      <c r="B39" s="1" t="n">
        <v>43565</v>
      </c>
      <c r="C39" s="1" t="n">
        <v>45584</v>
      </c>
      <c r="D39" t="inlineStr">
        <is>
          <t>JÖNKÖPINGS LÄN</t>
        </is>
      </c>
      <c r="E39" t="inlineStr">
        <is>
          <t>TRANÅS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21436-2019</t>
        </is>
      </c>
      <c r="B40" s="1" t="n">
        <v>43580</v>
      </c>
      <c r="C40" s="1" t="n">
        <v>45584</v>
      </c>
      <c r="D40" t="inlineStr">
        <is>
          <t>JÖNKÖPINGS LÄN</t>
        </is>
      </c>
      <c r="E40" t="inlineStr">
        <is>
          <t>TRANÅS</t>
        </is>
      </c>
      <c r="G40" t="n">
        <v>9.199999999999999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21483-2019</t>
        </is>
      </c>
      <c r="B41" s="1" t="n">
        <v>43580</v>
      </c>
      <c r="C41" s="1" t="n">
        <v>45584</v>
      </c>
      <c r="D41" t="inlineStr">
        <is>
          <t>JÖNKÖPINGS LÄN</t>
        </is>
      </c>
      <c r="E41" t="inlineStr">
        <is>
          <t>TRANÅS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21490-2019</t>
        </is>
      </c>
      <c r="B42" s="1" t="n">
        <v>43580</v>
      </c>
      <c r="C42" s="1" t="n">
        <v>45584</v>
      </c>
      <c r="D42" t="inlineStr">
        <is>
          <t>JÖNKÖPINGS LÄN</t>
        </is>
      </c>
      <c r="E42" t="inlineStr">
        <is>
          <t>TRANÅS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21514-2019</t>
        </is>
      </c>
      <c r="B43" s="1" t="n">
        <v>43580</v>
      </c>
      <c r="C43" s="1" t="n">
        <v>45584</v>
      </c>
      <c r="D43" t="inlineStr">
        <is>
          <t>JÖNKÖPINGS LÄN</t>
        </is>
      </c>
      <c r="E43" t="inlineStr">
        <is>
          <t>TRANÅS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21470-2019</t>
        </is>
      </c>
      <c r="B44" s="1" t="n">
        <v>43580</v>
      </c>
      <c r="C44" s="1" t="n">
        <v>45584</v>
      </c>
      <c r="D44" t="inlineStr">
        <is>
          <t>JÖNKÖPINGS LÄN</t>
        </is>
      </c>
      <c r="E44" t="inlineStr">
        <is>
          <t>TRANÅS</t>
        </is>
      </c>
      <c r="G44" t="n">
        <v>14.6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21474-2019</t>
        </is>
      </c>
      <c r="B45" s="1" t="n">
        <v>43580</v>
      </c>
      <c r="C45" s="1" t="n">
        <v>45584</v>
      </c>
      <c r="D45" t="inlineStr">
        <is>
          <t>JÖNKÖPINGS LÄN</t>
        </is>
      </c>
      <c r="E45" t="inlineStr">
        <is>
          <t>TRANÅS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21385-2019</t>
        </is>
      </c>
      <c r="B46" s="1" t="n">
        <v>43580</v>
      </c>
      <c r="C46" s="1" t="n">
        <v>45584</v>
      </c>
      <c r="D46" t="inlineStr">
        <is>
          <t>JÖNKÖPINGS LÄN</t>
        </is>
      </c>
      <c r="E46" t="inlineStr">
        <is>
          <t>TRANÅS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21482-2019</t>
        </is>
      </c>
      <c r="B47" s="1" t="n">
        <v>43580</v>
      </c>
      <c r="C47" s="1" t="n">
        <v>45584</v>
      </c>
      <c r="D47" t="inlineStr">
        <is>
          <t>JÖNKÖPINGS LÄN</t>
        </is>
      </c>
      <c r="E47" t="inlineStr">
        <is>
          <t>TRANÅS</t>
        </is>
      </c>
      <c r="G47" t="n">
        <v>11.7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24206-2019</t>
        </is>
      </c>
      <c r="B48" s="1" t="n">
        <v>43598</v>
      </c>
      <c r="C48" s="1" t="n">
        <v>45584</v>
      </c>
      <c r="D48" t="inlineStr">
        <is>
          <t>JÖNKÖPINGS LÄN</t>
        </is>
      </c>
      <c r="E48" t="inlineStr">
        <is>
          <t>TRANÅS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24597-2019</t>
        </is>
      </c>
      <c r="B49" s="1" t="n">
        <v>43600</v>
      </c>
      <c r="C49" s="1" t="n">
        <v>45584</v>
      </c>
      <c r="D49" t="inlineStr">
        <is>
          <t>JÖNKÖPINGS LÄN</t>
        </is>
      </c>
      <c r="E49" t="inlineStr">
        <is>
          <t>TRANÅS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27551-2019</t>
        </is>
      </c>
      <c r="B50" s="1" t="n">
        <v>43619</v>
      </c>
      <c r="C50" s="1" t="n">
        <v>45584</v>
      </c>
      <c r="D50" t="inlineStr">
        <is>
          <t>JÖNKÖPINGS LÄN</t>
        </is>
      </c>
      <c r="E50" t="inlineStr">
        <is>
          <t>TRANÅS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27963-2019</t>
        </is>
      </c>
      <c r="B51" s="1" t="n">
        <v>43620</v>
      </c>
      <c r="C51" s="1" t="n">
        <v>45584</v>
      </c>
      <c r="D51" t="inlineStr">
        <is>
          <t>JÖNKÖPINGS LÄN</t>
        </is>
      </c>
      <c r="E51" t="inlineStr">
        <is>
          <t>TRANÅS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27958-2019</t>
        </is>
      </c>
      <c r="B52" s="1" t="n">
        <v>43620</v>
      </c>
      <c r="C52" s="1" t="n">
        <v>45584</v>
      </c>
      <c r="D52" t="inlineStr">
        <is>
          <t>JÖNKÖPINGS LÄN</t>
        </is>
      </c>
      <c r="E52" t="inlineStr">
        <is>
          <t>TRANÅS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30054-2019</t>
        </is>
      </c>
      <c r="B53" s="1" t="n">
        <v>43633</v>
      </c>
      <c r="C53" s="1" t="n">
        <v>45584</v>
      </c>
      <c r="D53" t="inlineStr">
        <is>
          <t>JÖNKÖPINGS LÄN</t>
        </is>
      </c>
      <c r="E53" t="inlineStr">
        <is>
          <t>TRANÅS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30051-2019</t>
        </is>
      </c>
      <c r="B54" s="1" t="n">
        <v>43633</v>
      </c>
      <c r="C54" s="1" t="n">
        <v>45584</v>
      </c>
      <c r="D54" t="inlineStr">
        <is>
          <t>JÖNKÖPINGS LÄN</t>
        </is>
      </c>
      <c r="E54" t="inlineStr">
        <is>
          <t>TRANÅS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30346-2019</t>
        </is>
      </c>
      <c r="B55" s="1" t="n">
        <v>43634</v>
      </c>
      <c r="C55" s="1" t="n">
        <v>45584</v>
      </c>
      <c r="D55" t="inlineStr">
        <is>
          <t>JÖNKÖPINGS LÄN</t>
        </is>
      </c>
      <c r="E55" t="inlineStr">
        <is>
          <t>TRANÅS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30584-2019</t>
        </is>
      </c>
      <c r="B56" s="1" t="n">
        <v>43635</v>
      </c>
      <c r="C56" s="1" t="n">
        <v>45584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36166-2019</t>
        </is>
      </c>
      <c r="B57" s="1" t="n">
        <v>43668</v>
      </c>
      <c r="C57" s="1" t="n">
        <v>45584</v>
      </c>
      <c r="D57" t="inlineStr">
        <is>
          <t>JÖNKÖPINGS LÄN</t>
        </is>
      </c>
      <c r="E57" t="inlineStr">
        <is>
          <t>TRANÅS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37047-2019</t>
        </is>
      </c>
      <c r="B58" s="1" t="n">
        <v>43676</v>
      </c>
      <c r="C58" s="1" t="n">
        <v>45584</v>
      </c>
      <c r="D58" t="inlineStr">
        <is>
          <t>JÖNKÖPINGS LÄN</t>
        </is>
      </c>
      <c r="E58" t="inlineStr">
        <is>
          <t>TRANÅS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37395-2019</t>
        </is>
      </c>
      <c r="B59" s="1" t="n">
        <v>43678</v>
      </c>
      <c r="C59" s="1" t="n">
        <v>45584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37445-2019</t>
        </is>
      </c>
      <c r="B60" s="1" t="n">
        <v>43679</v>
      </c>
      <c r="C60" s="1" t="n">
        <v>45584</v>
      </c>
      <c r="D60" t="inlineStr">
        <is>
          <t>JÖNKÖPINGS LÄN</t>
        </is>
      </c>
      <c r="E60" t="inlineStr">
        <is>
          <t>TRANÅS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37736-2019</t>
        </is>
      </c>
      <c r="B61" s="1" t="n">
        <v>43682</v>
      </c>
      <c r="C61" s="1" t="n">
        <v>45584</v>
      </c>
      <c r="D61" t="inlineStr">
        <is>
          <t>JÖNKÖPINGS LÄN</t>
        </is>
      </c>
      <c r="E61" t="inlineStr">
        <is>
          <t>TRANÅS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37740-2019</t>
        </is>
      </c>
      <c r="B62" s="1" t="n">
        <v>43682</v>
      </c>
      <c r="C62" s="1" t="n">
        <v>45584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38185-2019</t>
        </is>
      </c>
      <c r="B63" s="1" t="n">
        <v>43684</v>
      </c>
      <c r="C63" s="1" t="n">
        <v>45584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39430-2019</t>
        </is>
      </c>
      <c r="B64" s="1" t="n">
        <v>43690</v>
      </c>
      <c r="C64" s="1" t="n">
        <v>45584</v>
      </c>
      <c r="D64" t="inlineStr">
        <is>
          <t>JÖNKÖPINGS LÄN</t>
        </is>
      </c>
      <c r="E64" t="inlineStr">
        <is>
          <t>TRANÅS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40084-2019</t>
        </is>
      </c>
      <c r="B65" s="1" t="n">
        <v>43693</v>
      </c>
      <c r="C65" s="1" t="n">
        <v>45584</v>
      </c>
      <c r="D65" t="inlineStr">
        <is>
          <t>JÖNKÖPINGS LÄN</t>
        </is>
      </c>
      <c r="E65" t="inlineStr">
        <is>
          <t>TRANÅS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40588-2019</t>
        </is>
      </c>
      <c r="B66" s="1" t="n">
        <v>43696</v>
      </c>
      <c r="C66" s="1" t="n">
        <v>45584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41085-2019</t>
        </is>
      </c>
      <c r="B67" s="1" t="n">
        <v>43697</v>
      </c>
      <c r="C67" s="1" t="n">
        <v>45584</v>
      </c>
      <c r="D67" t="inlineStr">
        <is>
          <t>JÖNKÖPINGS LÄN</t>
        </is>
      </c>
      <c r="E67" t="inlineStr">
        <is>
          <t>TRANÅS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41270-2019</t>
        </is>
      </c>
      <c r="B68" s="1" t="n">
        <v>43698</v>
      </c>
      <c r="C68" s="1" t="n">
        <v>45584</v>
      </c>
      <c r="D68" t="inlineStr">
        <is>
          <t>JÖNKÖPINGS LÄN</t>
        </is>
      </c>
      <c r="E68" t="inlineStr">
        <is>
          <t>TRANÅS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41840-2019</t>
        </is>
      </c>
      <c r="B69" s="1" t="n">
        <v>43700</v>
      </c>
      <c r="C69" s="1" t="n">
        <v>45584</v>
      </c>
      <c r="D69" t="inlineStr">
        <is>
          <t>JÖNKÖPINGS LÄN</t>
        </is>
      </c>
      <c r="E69" t="inlineStr">
        <is>
          <t>TRANÅS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41832-2019</t>
        </is>
      </c>
      <c r="B70" s="1" t="n">
        <v>43700</v>
      </c>
      <c r="C70" s="1" t="n">
        <v>45584</v>
      </c>
      <c r="D70" t="inlineStr">
        <is>
          <t>JÖNKÖPINGS LÄN</t>
        </is>
      </c>
      <c r="E70" t="inlineStr">
        <is>
          <t>TRANÅS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42932-2019</t>
        </is>
      </c>
      <c r="B71" s="1" t="n">
        <v>43704</v>
      </c>
      <c r="C71" s="1" t="n">
        <v>45584</v>
      </c>
      <c r="D71" t="inlineStr">
        <is>
          <t>JÖNKÖPINGS LÄN</t>
        </is>
      </c>
      <c r="E71" t="inlineStr">
        <is>
          <t>TRANÅS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43734-2019</t>
        </is>
      </c>
      <c r="B72" s="1" t="n">
        <v>43706</v>
      </c>
      <c r="C72" s="1" t="n">
        <v>45584</v>
      </c>
      <c r="D72" t="inlineStr">
        <is>
          <t>JÖNKÖPINGS LÄN</t>
        </is>
      </c>
      <c r="E72" t="inlineStr">
        <is>
          <t>TRANÅS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43805-2019</t>
        </is>
      </c>
      <c r="B73" s="1" t="n">
        <v>43707</v>
      </c>
      <c r="C73" s="1" t="n">
        <v>45584</v>
      </c>
      <c r="D73" t="inlineStr">
        <is>
          <t>JÖNKÖPINGS LÄN</t>
        </is>
      </c>
      <c r="E73" t="inlineStr">
        <is>
          <t>TRANÅS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43826-2019</t>
        </is>
      </c>
      <c r="B74" s="1" t="n">
        <v>43707</v>
      </c>
      <c r="C74" s="1" t="n">
        <v>45584</v>
      </c>
      <c r="D74" t="inlineStr">
        <is>
          <t>JÖNKÖPINGS LÄN</t>
        </is>
      </c>
      <c r="E74" t="inlineStr">
        <is>
          <t>TRANÅS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45565-2019</t>
        </is>
      </c>
      <c r="B75" s="1" t="n">
        <v>43716</v>
      </c>
      <c r="C75" s="1" t="n">
        <v>45584</v>
      </c>
      <c r="D75" t="inlineStr">
        <is>
          <t>JÖNKÖPINGS LÄN</t>
        </is>
      </c>
      <c r="E75" t="inlineStr">
        <is>
          <t>TRANÅS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46331-2019</t>
        </is>
      </c>
      <c r="B76" s="1" t="n">
        <v>43718</v>
      </c>
      <c r="C76" s="1" t="n">
        <v>45584</v>
      </c>
      <c r="D76" t="inlineStr">
        <is>
          <t>JÖNKÖPINGS LÄN</t>
        </is>
      </c>
      <c r="E76" t="inlineStr">
        <is>
          <t>TRANÅS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46332-2019</t>
        </is>
      </c>
      <c r="B77" s="1" t="n">
        <v>43718</v>
      </c>
      <c r="C77" s="1" t="n">
        <v>45584</v>
      </c>
      <c r="D77" t="inlineStr">
        <is>
          <t>JÖNKÖPINGS LÄN</t>
        </is>
      </c>
      <c r="E77" t="inlineStr">
        <is>
          <t>TRANÅS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46919-2019</t>
        </is>
      </c>
      <c r="B78" s="1" t="n">
        <v>43720</v>
      </c>
      <c r="C78" s="1" t="n">
        <v>45584</v>
      </c>
      <c r="D78" t="inlineStr">
        <is>
          <t>JÖNKÖPINGS LÄN</t>
        </is>
      </c>
      <c r="E78" t="inlineStr">
        <is>
          <t>TRANÅS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49593-2019</t>
        </is>
      </c>
      <c r="B79" s="1" t="n">
        <v>43732</v>
      </c>
      <c r="C79" s="1" t="n">
        <v>45584</v>
      </c>
      <c r="D79" t="inlineStr">
        <is>
          <t>JÖNKÖPINGS LÄN</t>
        </is>
      </c>
      <c r="E79" t="inlineStr">
        <is>
          <t>TRANÅS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51532-2019</t>
        </is>
      </c>
      <c r="B80" s="1" t="n">
        <v>43740</v>
      </c>
      <c r="C80" s="1" t="n">
        <v>45584</v>
      </c>
      <c r="D80" t="inlineStr">
        <is>
          <t>JÖNKÖPINGS LÄN</t>
        </is>
      </c>
      <c r="E80" t="inlineStr">
        <is>
          <t>TRANÅS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51963-2019</t>
        </is>
      </c>
      <c r="B81" s="1" t="n">
        <v>43742</v>
      </c>
      <c r="C81" s="1" t="n">
        <v>45584</v>
      </c>
      <c r="D81" t="inlineStr">
        <is>
          <t>JÖNKÖPINGS LÄN</t>
        </is>
      </c>
      <c r="E81" t="inlineStr">
        <is>
          <t>TRANÅS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52327-2019</t>
        </is>
      </c>
      <c r="B82" s="1" t="n">
        <v>43745</v>
      </c>
      <c r="C82" s="1" t="n">
        <v>45584</v>
      </c>
      <c r="D82" t="inlineStr">
        <is>
          <t>JÖNKÖPINGS LÄN</t>
        </is>
      </c>
      <c r="E82" t="inlineStr">
        <is>
          <t>TRANÅS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54469-2019</t>
        </is>
      </c>
      <c r="B83" s="1" t="n">
        <v>43747</v>
      </c>
      <c r="C83" s="1" t="n">
        <v>45584</v>
      </c>
      <c r="D83" t="inlineStr">
        <is>
          <t>JÖNKÖPINGS LÄN</t>
        </is>
      </c>
      <c r="E83" t="inlineStr">
        <is>
          <t>TRANÅS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55281-2019</t>
        </is>
      </c>
      <c r="B84" s="1" t="n">
        <v>43753</v>
      </c>
      <c r="C84" s="1" t="n">
        <v>45584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54331-2019</t>
        </is>
      </c>
      <c r="B85" s="1" t="n">
        <v>43753</v>
      </c>
      <c r="C85" s="1" t="n">
        <v>45584</v>
      </c>
      <c r="D85" t="inlineStr">
        <is>
          <t>JÖNKÖPINGS LÄN</t>
        </is>
      </c>
      <c r="E85" t="inlineStr">
        <is>
          <t>TRANÅS</t>
        </is>
      </c>
      <c r="F85" t="inlineStr">
        <is>
          <t>Kyrkan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55289-2019</t>
        </is>
      </c>
      <c r="B86" s="1" t="n">
        <v>43753</v>
      </c>
      <c r="C86" s="1" t="n">
        <v>45584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55535-2019</t>
        </is>
      </c>
      <c r="B87" s="1" t="n">
        <v>43760</v>
      </c>
      <c r="C87" s="1" t="n">
        <v>45584</v>
      </c>
      <c r="D87" t="inlineStr">
        <is>
          <t>JÖNKÖPINGS LÄN</t>
        </is>
      </c>
      <c r="E87" t="inlineStr">
        <is>
          <t>TRANÅS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56599-2019</t>
        </is>
      </c>
      <c r="B88" s="1" t="n">
        <v>43763</v>
      </c>
      <c r="C88" s="1" t="n">
        <v>45584</v>
      </c>
      <c r="D88" t="inlineStr">
        <is>
          <t>JÖNKÖPINGS LÄN</t>
        </is>
      </c>
      <c r="E88" t="inlineStr">
        <is>
          <t>TRANÅS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56917-2019</t>
        </is>
      </c>
      <c r="B89" s="1" t="n">
        <v>43763</v>
      </c>
      <c r="C89" s="1" t="n">
        <v>45584</v>
      </c>
      <c r="D89" t="inlineStr">
        <is>
          <t>JÖNKÖPINGS LÄN</t>
        </is>
      </c>
      <c r="E89" t="inlineStr">
        <is>
          <t>TRANÅS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57162-2019</t>
        </is>
      </c>
      <c r="B90" s="1" t="n">
        <v>43766</v>
      </c>
      <c r="C90" s="1" t="n">
        <v>45584</v>
      </c>
      <c r="D90" t="inlineStr">
        <is>
          <t>JÖNKÖPINGS LÄN</t>
        </is>
      </c>
      <c r="E90" t="inlineStr">
        <is>
          <t>TRANÅS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57207-2019</t>
        </is>
      </c>
      <c r="B91" s="1" t="n">
        <v>43767</v>
      </c>
      <c r="C91" s="1" t="n">
        <v>45584</v>
      </c>
      <c r="D91" t="inlineStr">
        <is>
          <t>JÖNKÖPINGS LÄN</t>
        </is>
      </c>
      <c r="E91" t="inlineStr">
        <is>
          <t>TRANÅS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58432-2019</t>
        </is>
      </c>
      <c r="B92" s="1" t="n">
        <v>43769</v>
      </c>
      <c r="C92" s="1" t="n">
        <v>45584</v>
      </c>
      <c r="D92" t="inlineStr">
        <is>
          <t>JÖNKÖPINGS LÄN</t>
        </is>
      </c>
      <c r="E92" t="inlineStr">
        <is>
          <t>TRANÅS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58441-2019</t>
        </is>
      </c>
      <c r="B93" s="1" t="n">
        <v>43769</v>
      </c>
      <c r="C93" s="1" t="n">
        <v>45584</v>
      </c>
      <c r="D93" t="inlineStr">
        <is>
          <t>JÖNKÖPINGS LÄN</t>
        </is>
      </c>
      <c r="E93" t="inlineStr">
        <is>
          <t>TRANÅS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58459-2019</t>
        </is>
      </c>
      <c r="B94" s="1" t="n">
        <v>43769</v>
      </c>
      <c r="C94" s="1" t="n">
        <v>45584</v>
      </c>
      <c r="D94" t="inlineStr">
        <is>
          <t>JÖNKÖPINGS LÄN</t>
        </is>
      </c>
      <c r="E94" t="inlineStr">
        <is>
          <t>TRANÅS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58434-2019</t>
        </is>
      </c>
      <c r="B95" s="1" t="n">
        <v>43769</v>
      </c>
      <c r="C95" s="1" t="n">
        <v>45584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58492-2019</t>
        </is>
      </c>
      <c r="B96" s="1" t="n">
        <v>43769</v>
      </c>
      <c r="C96" s="1" t="n">
        <v>45584</v>
      </c>
      <c r="D96" t="inlineStr">
        <is>
          <t>JÖNKÖPINGS LÄN</t>
        </is>
      </c>
      <c r="E96" t="inlineStr">
        <is>
          <t>TRANÅS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58452-2019</t>
        </is>
      </c>
      <c r="B97" s="1" t="n">
        <v>43769</v>
      </c>
      <c r="C97" s="1" t="n">
        <v>45584</v>
      </c>
      <c r="D97" t="inlineStr">
        <is>
          <t>JÖNKÖPINGS LÄN</t>
        </is>
      </c>
      <c r="E97" t="inlineStr">
        <is>
          <t>TRANÅS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64925-2019</t>
        </is>
      </c>
      <c r="B98" s="1" t="n">
        <v>43795</v>
      </c>
      <c r="C98" s="1" t="n">
        <v>45584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64942-2019</t>
        </is>
      </c>
      <c r="B99" s="1" t="n">
        <v>43795</v>
      </c>
      <c r="C99" s="1" t="n">
        <v>45584</v>
      </c>
      <c r="D99" t="inlineStr">
        <is>
          <t>JÖNKÖPINGS LÄN</t>
        </is>
      </c>
      <c r="E99" t="inlineStr">
        <is>
          <t>TRANÅS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63860-2019</t>
        </is>
      </c>
      <c r="B100" s="1" t="n">
        <v>43796</v>
      </c>
      <c r="C100" s="1" t="n">
        <v>45584</v>
      </c>
      <c r="D100" t="inlineStr">
        <is>
          <t>JÖNKÖPINGS LÄN</t>
        </is>
      </c>
      <c r="E100" t="inlineStr">
        <is>
          <t>TRANÅS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65139-2019</t>
        </is>
      </c>
      <c r="B101" s="1" t="n">
        <v>43796</v>
      </c>
      <c r="C101" s="1" t="n">
        <v>45584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64909-2019</t>
        </is>
      </c>
      <c r="B102" s="1" t="n">
        <v>43801</v>
      </c>
      <c r="C102" s="1" t="n">
        <v>45584</v>
      </c>
      <c r="D102" t="inlineStr">
        <is>
          <t>JÖNKÖPINGS LÄN</t>
        </is>
      </c>
      <c r="E102" t="inlineStr">
        <is>
          <t>TRANÅS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64910-2019</t>
        </is>
      </c>
      <c r="B103" s="1" t="n">
        <v>43801</v>
      </c>
      <c r="C103" s="1" t="n">
        <v>45584</v>
      </c>
      <c r="D103" t="inlineStr">
        <is>
          <t>JÖNKÖPINGS LÄN</t>
        </is>
      </c>
      <c r="E103" t="inlineStr">
        <is>
          <t>TRANÅS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64926-2019</t>
        </is>
      </c>
      <c r="B104" s="1" t="n">
        <v>43801</v>
      </c>
      <c r="C104" s="1" t="n">
        <v>45584</v>
      </c>
      <c r="D104" t="inlineStr">
        <is>
          <t>JÖNKÖPINGS LÄN</t>
        </is>
      </c>
      <c r="E104" t="inlineStr">
        <is>
          <t>TRANÅS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64911-2019</t>
        </is>
      </c>
      <c r="B105" s="1" t="n">
        <v>43801</v>
      </c>
      <c r="C105" s="1" t="n">
        <v>45584</v>
      </c>
      <c r="D105" t="inlineStr">
        <is>
          <t>JÖNKÖPINGS LÄN</t>
        </is>
      </c>
      <c r="E105" t="inlineStr">
        <is>
          <t>TRANÅS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64767-2019</t>
        </is>
      </c>
      <c r="B106" s="1" t="n">
        <v>43801</v>
      </c>
      <c r="C106" s="1" t="n">
        <v>45584</v>
      </c>
      <c r="D106" t="inlineStr">
        <is>
          <t>JÖNKÖPINGS LÄN</t>
        </is>
      </c>
      <c r="E106" t="inlineStr">
        <is>
          <t>TRANÅS</t>
        </is>
      </c>
      <c r="F106" t="inlineStr">
        <is>
          <t>Kyrkan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65859-2019</t>
        </is>
      </c>
      <c r="B107" s="1" t="n">
        <v>43804</v>
      </c>
      <c r="C107" s="1" t="n">
        <v>45584</v>
      </c>
      <c r="D107" t="inlineStr">
        <is>
          <t>JÖNKÖPINGS LÄN</t>
        </is>
      </c>
      <c r="E107" t="inlineStr">
        <is>
          <t>TRANÅS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67106-2019</t>
        </is>
      </c>
      <c r="B108" s="1" t="n">
        <v>43811</v>
      </c>
      <c r="C108" s="1" t="n">
        <v>45584</v>
      </c>
      <c r="D108" t="inlineStr">
        <is>
          <t>JÖNKÖPINGS LÄN</t>
        </is>
      </c>
      <c r="E108" t="inlineStr">
        <is>
          <t>TRANÅS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68029-2019</t>
        </is>
      </c>
      <c r="B109" s="1" t="n">
        <v>43816</v>
      </c>
      <c r="C109" s="1" t="n">
        <v>45584</v>
      </c>
      <c r="D109" t="inlineStr">
        <is>
          <t>JÖNKÖPINGS LÄN</t>
        </is>
      </c>
      <c r="E109" t="inlineStr">
        <is>
          <t>TRANÅS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68112-2019</t>
        </is>
      </c>
      <c r="B110" s="1" t="n">
        <v>43817</v>
      </c>
      <c r="C110" s="1" t="n">
        <v>45584</v>
      </c>
      <c r="D110" t="inlineStr">
        <is>
          <t>JÖNKÖPINGS LÄN</t>
        </is>
      </c>
      <c r="E110" t="inlineStr">
        <is>
          <t>TRANÅS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1752-2020</t>
        </is>
      </c>
      <c r="B111" s="1" t="n">
        <v>43832</v>
      </c>
      <c r="C111" s="1" t="n">
        <v>45584</v>
      </c>
      <c r="D111" t="inlineStr">
        <is>
          <t>JÖNKÖPINGS LÄN</t>
        </is>
      </c>
      <c r="E111" t="inlineStr">
        <is>
          <t>TRANÅS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1824-2020</t>
        </is>
      </c>
      <c r="B112" s="1" t="n">
        <v>43833</v>
      </c>
      <c r="C112" s="1" t="n">
        <v>45584</v>
      </c>
      <c r="D112" t="inlineStr">
        <is>
          <t>JÖNKÖPINGS LÄN</t>
        </is>
      </c>
      <c r="E112" t="inlineStr">
        <is>
          <t>TRANÅS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2200-2020</t>
        </is>
      </c>
      <c r="B113" s="1" t="n">
        <v>43846</v>
      </c>
      <c r="C113" s="1" t="n">
        <v>45584</v>
      </c>
      <c r="D113" t="inlineStr">
        <is>
          <t>JÖNKÖPINGS LÄN</t>
        </is>
      </c>
      <c r="E113" t="inlineStr">
        <is>
          <t>TRANÅS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2192-2020</t>
        </is>
      </c>
      <c r="B114" s="1" t="n">
        <v>43846</v>
      </c>
      <c r="C114" s="1" t="n">
        <v>45584</v>
      </c>
      <c r="D114" t="inlineStr">
        <is>
          <t>JÖNKÖPINGS LÄN</t>
        </is>
      </c>
      <c r="E114" t="inlineStr">
        <is>
          <t>TRANÅS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3623-2020</t>
        </is>
      </c>
      <c r="B115" s="1" t="n">
        <v>43853</v>
      </c>
      <c r="C115" s="1" t="n">
        <v>45584</v>
      </c>
      <c r="D115" t="inlineStr">
        <is>
          <t>JÖNKÖPINGS LÄN</t>
        </is>
      </c>
      <c r="E115" t="inlineStr">
        <is>
          <t>TRANÅS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3690-2020</t>
        </is>
      </c>
      <c r="B116" s="1" t="n">
        <v>43853</v>
      </c>
      <c r="C116" s="1" t="n">
        <v>45584</v>
      </c>
      <c r="D116" t="inlineStr">
        <is>
          <t>JÖNKÖPINGS LÄN</t>
        </is>
      </c>
      <c r="E116" t="inlineStr">
        <is>
          <t>TRANÅS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3625-2020</t>
        </is>
      </c>
      <c r="B117" s="1" t="n">
        <v>43853</v>
      </c>
      <c r="C117" s="1" t="n">
        <v>45584</v>
      </c>
      <c r="D117" t="inlineStr">
        <is>
          <t>JÖNKÖPINGS LÄN</t>
        </is>
      </c>
      <c r="E117" t="inlineStr">
        <is>
          <t>TRANÅS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3688-2020</t>
        </is>
      </c>
      <c r="B118" s="1" t="n">
        <v>43853</v>
      </c>
      <c r="C118" s="1" t="n">
        <v>45584</v>
      </c>
      <c r="D118" t="inlineStr">
        <is>
          <t>JÖNKÖPINGS LÄN</t>
        </is>
      </c>
      <c r="E118" t="inlineStr">
        <is>
          <t>TRANÅS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6141-2020</t>
        </is>
      </c>
      <c r="B119" s="1" t="n">
        <v>43865</v>
      </c>
      <c r="C119" s="1" t="n">
        <v>45584</v>
      </c>
      <c r="D119" t="inlineStr">
        <is>
          <t>JÖNKÖPINGS LÄN</t>
        </is>
      </c>
      <c r="E119" t="inlineStr">
        <is>
          <t>TRANÅS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6147-2020</t>
        </is>
      </c>
      <c r="B120" s="1" t="n">
        <v>43865</v>
      </c>
      <c r="C120" s="1" t="n">
        <v>45584</v>
      </c>
      <c r="D120" t="inlineStr">
        <is>
          <t>JÖNKÖPINGS LÄN</t>
        </is>
      </c>
      <c r="E120" t="inlineStr">
        <is>
          <t>TRANÅS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6035-2020</t>
        </is>
      </c>
      <c r="B121" s="1" t="n">
        <v>43865</v>
      </c>
      <c r="C121" s="1" t="n">
        <v>45584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6056-2020</t>
        </is>
      </c>
      <c r="B122" s="1" t="n">
        <v>43865</v>
      </c>
      <c r="C122" s="1" t="n">
        <v>45584</v>
      </c>
      <c r="D122" t="inlineStr">
        <is>
          <t>JÖNKÖPINGS LÄN</t>
        </is>
      </c>
      <c r="E122" t="inlineStr">
        <is>
          <t>TRANÅS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6159-2020</t>
        </is>
      </c>
      <c r="B123" s="1" t="n">
        <v>43865</v>
      </c>
      <c r="C123" s="1" t="n">
        <v>45584</v>
      </c>
      <c r="D123" t="inlineStr">
        <is>
          <t>JÖNKÖPINGS LÄN</t>
        </is>
      </c>
      <c r="E123" t="inlineStr">
        <is>
          <t>TRANÅS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6534-2020</t>
        </is>
      </c>
      <c r="B124" s="1" t="n">
        <v>43865</v>
      </c>
      <c r="C124" s="1" t="n">
        <v>45584</v>
      </c>
      <c r="D124" t="inlineStr">
        <is>
          <t>JÖNKÖPINGS LÄN</t>
        </is>
      </c>
      <c r="E124" t="inlineStr">
        <is>
          <t>TRANÅS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6283-2020</t>
        </is>
      </c>
      <c r="B125" s="1" t="n">
        <v>43866</v>
      </c>
      <c r="C125" s="1" t="n">
        <v>45584</v>
      </c>
      <c r="D125" t="inlineStr">
        <is>
          <t>JÖNKÖPINGS LÄN</t>
        </is>
      </c>
      <c r="E125" t="inlineStr">
        <is>
          <t>TRANÅS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6278-2020</t>
        </is>
      </c>
      <c r="B126" s="1" t="n">
        <v>43866</v>
      </c>
      <c r="C126" s="1" t="n">
        <v>45584</v>
      </c>
      <c r="D126" t="inlineStr">
        <is>
          <t>JÖNKÖPINGS LÄN</t>
        </is>
      </c>
      <c r="E126" t="inlineStr">
        <is>
          <t>TRANÅS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6450-2020</t>
        </is>
      </c>
      <c r="B127" s="1" t="n">
        <v>43866</v>
      </c>
      <c r="C127" s="1" t="n">
        <v>45584</v>
      </c>
      <c r="D127" t="inlineStr">
        <is>
          <t>JÖNKÖPINGS LÄN</t>
        </is>
      </c>
      <c r="E127" t="inlineStr">
        <is>
          <t>TRANÅS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7883-2020</t>
        </is>
      </c>
      <c r="B128" s="1" t="n">
        <v>43873</v>
      </c>
      <c r="C128" s="1" t="n">
        <v>45584</v>
      </c>
      <c r="D128" t="inlineStr">
        <is>
          <t>JÖNKÖPINGS LÄN</t>
        </is>
      </c>
      <c r="E128" t="inlineStr">
        <is>
          <t>TRANÅS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8742-2020</t>
        </is>
      </c>
      <c r="B129" s="1" t="n">
        <v>43878</v>
      </c>
      <c r="C129" s="1" t="n">
        <v>45584</v>
      </c>
      <c r="D129" t="inlineStr">
        <is>
          <t>JÖNKÖPINGS LÄN</t>
        </is>
      </c>
      <c r="E129" t="inlineStr">
        <is>
          <t>TRANÅS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8729-2020</t>
        </is>
      </c>
      <c r="B130" s="1" t="n">
        <v>43878</v>
      </c>
      <c r="C130" s="1" t="n">
        <v>45584</v>
      </c>
      <c r="D130" t="inlineStr">
        <is>
          <t>JÖNKÖPINGS LÄN</t>
        </is>
      </c>
      <c r="E130" t="inlineStr">
        <is>
          <t>TRANÅS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10127-2020</t>
        </is>
      </c>
      <c r="B131" s="1" t="n">
        <v>43887</v>
      </c>
      <c r="C131" s="1" t="n">
        <v>45584</v>
      </c>
      <c r="D131" t="inlineStr">
        <is>
          <t>JÖNKÖPINGS LÄN</t>
        </is>
      </c>
      <c r="E131" t="inlineStr">
        <is>
          <t>TRANÅS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11468-2020</t>
        </is>
      </c>
      <c r="B132" s="1" t="n">
        <v>43892</v>
      </c>
      <c r="C132" s="1" t="n">
        <v>45584</v>
      </c>
      <c r="D132" t="inlineStr">
        <is>
          <t>JÖNKÖPINGS LÄN</t>
        </is>
      </c>
      <c r="E132" t="inlineStr">
        <is>
          <t>TRANÅS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13234-2020</t>
        </is>
      </c>
      <c r="B133" s="1" t="n">
        <v>43901</v>
      </c>
      <c r="C133" s="1" t="n">
        <v>45584</v>
      </c>
      <c r="D133" t="inlineStr">
        <is>
          <t>JÖNKÖPINGS LÄN</t>
        </is>
      </c>
      <c r="E133" t="inlineStr">
        <is>
          <t>TRANÅS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13347-2020</t>
        </is>
      </c>
      <c r="B134" s="1" t="n">
        <v>43902</v>
      </c>
      <c r="C134" s="1" t="n">
        <v>45584</v>
      </c>
      <c r="D134" t="inlineStr">
        <is>
          <t>JÖNKÖPINGS LÄN</t>
        </is>
      </c>
      <c r="E134" t="inlineStr">
        <is>
          <t>TRANÅS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13360-2020</t>
        </is>
      </c>
      <c r="B135" s="1" t="n">
        <v>43902</v>
      </c>
      <c r="C135" s="1" t="n">
        <v>45584</v>
      </c>
      <c r="D135" t="inlineStr">
        <is>
          <t>JÖNKÖPINGS LÄN</t>
        </is>
      </c>
      <c r="E135" t="inlineStr">
        <is>
          <t>TRANÅS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13370-2020</t>
        </is>
      </c>
      <c r="B136" s="1" t="n">
        <v>43902</v>
      </c>
      <c r="C136" s="1" t="n">
        <v>45584</v>
      </c>
      <c r="D136" t="inlineStr">
        <is>
          <t>JÖNKÖPINGS LÄN</t>
        </is>
      </c>
      <c r="E136" t="inlineStr">
        <is>
          <t>TRANÅS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17802-2020</t>
        </is>
      </c>
      <c r="B137" s="1" t="n">
        <v>43924</v>
      </c>
      <c r="C137" s="1" t="n">
        <v>45584</v>
      </c>
      <c r="D137" t="inlineStr">
        <is>
          <t>JÖNKÖPINGS LÄN</t>
        </is>
      </c>
      <c r="E137" t="inlineStr">
        <is>
          <t>TRANÅS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20762-2020</t>
        </is>
      </c>
      <c r="B138" s="1" t="n">
        <v>43949</v>
      </c>
      <c r="C138" s="1" t="n">
        <v>45584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20763-2020</t>
        </is>
      </c>
      <c r="B139" s="1" t="n">
        <v>43949</v>
      </c>
      <c r="C139" s="1" t="n">
        <v>45584</v>
      </c>
      <c r="D139" t="inlineStr">
        <is>
          <t>JÖNKÖPINGS LÄN</t>
        </is>
      </c>
      <c r="E139" t="inlineStr">
        <is>
          <t>TRANÅS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20761-2020</t>
        </is>
      </c>
      <c r="B140" s="1" t="n">
        <v>43949</v>
      </c>
      <c r="C140" s="1" t="n">
        <v>45584</v>
      </c>
      <c r="D140" t="inlineStr">
        <is>
          <t>JÖNKÖPINGS LÄN</t>
        </is>
      </c>
      <c r="E140" t="inlineStr">
        <is>
          <t>TRANÅS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25792-2020</t>
        </is>
      </c>
      <c r="B141" s="1" t="n">
        <v>43984</v>
      </c>
      <c r="C141" s="1" t="n">
        <v>45584</v>
      </c>
      <c r="D141" t="inlineStr">
        <is>
          <t>JÖNKÖPINGS LÄN</t>
        </is>
      </c>
      <c r="E141" t="inlineStr">
        <is>
          <t>TRANÅS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27708-2020</t>
        </is>
      </c>
      <c r="B142" s="1" t="n">
        <v>43993</v>
      </c>
      <c r="C142" s="1" t="n">
        <v>45584</v>
      </c>
      <c r="D142" t="inlineStr">
        <is>
          <t>JÖNKÖPINGS LÄN</t>
        </is>
      </c>
      <c r="E142" t="inlineStr">
        <is>
          <t>TRANÅS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27791-2020</t>
        </is>
      </c>
      <c r="B143" s="1" t="n">
        <v>43994</v>
      </c>
      <c r="C143" s="1" t="n">
        <v>45584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27846-2020</t>
        </is>
      </c>
      <c r="B144" s="1" t="n">
        <v>43994</v>
      </c>
      <c r="C144" s="1" t="n">
        <v>45584</v>
      </c>
      <c r="D144" t="inlineStr">
        <is>
          <t>JÖNKÖPINGS LÄN</t>
        </is>
      </c>
      <c r="E144" t="inlineStr">
        <is>
          <t>TRANÅS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27830-2020</t>
        </is>
      </c>
      <c r="B145" s="1" t="n">
        <v>43994</v>
      </c>
      <c r="C145" s="1" t="n">
        <v>45584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27818-2020</t>
        </is>
      </c>
      <c r="B146" s="1" t="n">
        <v>43994</v>
      </c>
      <c r="C146" s="1" t="n">
        <v>45584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27841-2020</t>
        </is>
      </c>
      <c r="B147" s="1" t="n">
        <v>43994</v>
      </c>
      <c r="C147" s="1" t="n">
        <v>45584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29371-2020</t>
        </is>
      </c>
      <c r="B148" s="1" t="n">
        <v>44004</v>
      </c>
      <c r="C148" s="1" t="n">
        <v>45584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31171-2020</t>
        </is>
      </c>
      <c r="B149" s="1" t="n">
        <v>44012</v>
      </c>
      <c r="C149" s="1" t="n">
        <v>45584</v>
      </c>
      <c r="D149" t="inlineStr">
        <is>
          <t>JÖNKÖPINGS LÄN</t>
        </is>
      </c>
      <c r="E149" t="inlineStr">
        <is>
          <t>TRANÅS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36258-2020</t>
        </is>
      </c>
      <c r="B150" s="1" t="n">
        <v>44049</v>
      </c>
      <c r="C150" s="1" t="n">
        <v>45584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36272-2020</t>
        </is>
      </c>
      <c r="B151" s="1" t="n">
        <v>44049</v>
      </c>
      <c r="C151" s="1" t="n">
        <v>45584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36270-2020</t>
        </is>
      </c>
      <c r="B152" s="1" t="n">
        <v>44049</v>
      </c>
      <c r="C152" s="1" t="n">
        <v>45584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36275-2020</t>
        </is>
      </c>
      <c r="B153" s="1" t="n">
        <v>44049</v>
      </c>
      <c r="C153" s="1" t="n">
        <v>45584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36253-2020</t>
        </is>
      </c>
      <c r="B154" s="1" t="n">
        <v>44049</v>
      </c>
      <c r="C154" s="1" t="n">
        <v>45584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36259-2020</t>
        </is>
      </c>
      <c r="B155" s="1" t="n">
        <v>44049</v>
      </c>
      <c r="C155" s="1" t="n">
        <v>45584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36273-2020</t>
        </is>
      </c>
      <c r="B156" s="1" t="n">
        <v>44049</v>
      </c>
      <c r="C156" s="1" t="n">
        <v>45584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36320-2020</t>
        </is>
      </c>
      <c r="B157" s="1" t="n">
        <v>44049</v>
      </c>
      <c r="C157" s="1" t="n">
        <v>45584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36267-2020</t>
        </is>
      </c>
      <c r="B158" s="1" t="n">
        <v>44049</v>
      </c>
      <c r="C158" s="1" t="n">
        <v>45584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36324-2020</t>
        </is>
      </c>
      <c r="B159" s="1" t="n">
        <v>44049</v>
      </c>
      <c r="C159" s="1" t="n">
        <v>45584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36329-2020</t>
        </is>
      </c>
      <c r="B160" s="1" t="n">
        <v>44049</v>
      </c>
      <c r="C160" s="1" t="n">
        <v>45584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36261-2020</t>
        </is>
      </c>
      <c r="B161" s="1" t="n">
        <v>44049</v>
      </c>
      <c r="C161" s="1" t="n">
        <v>45584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45584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45584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45584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45584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45584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45584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45584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45584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45584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45584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45584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45584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45584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45584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45584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45584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45584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45584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45584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45584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45584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45584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45584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45584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45584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45584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45584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45584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45584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45584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45584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45584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45584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45584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45584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45584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45584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45584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45584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45584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45584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45584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45584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45584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45584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45584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45584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45584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45584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45584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45584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45584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45584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45584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45584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45584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45584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45584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45584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45584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45584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45584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45584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45584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45584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45584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45584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45584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45584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45584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45584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45584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45584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45584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45584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45584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45584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45584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45584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45584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45584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45584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45584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45584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45584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45584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45584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45584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45584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45584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45584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45584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45584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45584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45584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45584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45584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45584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45584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45584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45584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45584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45584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45584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45584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45584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45584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45584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45584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45584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45584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45584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45584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45584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45584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45584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45584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45584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45584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45584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45584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45584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45584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45584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45584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45584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45584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45584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45584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45584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45584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45584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45584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45584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45584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45584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45584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45584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45584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45584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45584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45584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45584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45584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45584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45584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45584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45584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45584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45584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45584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45584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45584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45584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45584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45584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45584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45584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45584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45584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45584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45584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45584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45584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45584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45584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45584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45584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45584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45584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45584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45584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45584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45584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45584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45584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45584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45584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45584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45584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45584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45584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45584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45584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45584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45584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45584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45584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45584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45584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45584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45584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45584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45584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45584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45584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45584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45584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45584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45584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45584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45584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45584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45584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45584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45584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45584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45584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45584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45584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45584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45584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45584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45584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45584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45584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45584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45584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45584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45584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45584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45584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45584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45584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45584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45584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45584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45584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45584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45584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45584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45584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45584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45584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45584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45584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45584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45584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45584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45584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45584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45584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45584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45584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45584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45584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45584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45584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45584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45584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45584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45584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45584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45584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45584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45584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45584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45584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45584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45584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45584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45584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45584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45584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45584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45584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45584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45584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45584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45584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45584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45584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45584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45584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45584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45584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45584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45584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45584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45584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45584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45584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45584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45584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45584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45584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45584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45584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45584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45584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45584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45584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45584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45584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45584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45584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45584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45584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45584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45584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30144-2024</t>
        </is>
      </c>
      <c r="B462" s="1" t="n">
        <v>45489</v>
      </c>
      <c r="C462" s="1" t="n">
        <v>45584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45584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31694-2024</t>
        </is>
      </c>
      <c r="B464" s="1" t="n">
        <v>45508</v>
      </c>
      <c r="C464" s="1" t="n">
        <v>45584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36045-2024</t>
        </is>
      </c>
      <c r="B465" s="1" t="n">
        <v>45533</v>
      </c>
      <c r="C465" s="1" t="n">
        <v>45584</v>
      </c>
      <c r="D465" t="inlineStr">
        <is>
          <t>JÖNKÖPINGS LÄN</t>
        </is>
      </c>
      <c r="E465" t="inlineStr">
        <is>
          <t>TRANÅS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36105-2024</t>
        </is>
      </c>
      <c r="B466" s="1" t="n">
        <v>45533</v>
      </c>
      <c r="C466" s="1" t="n">
        <v>45584</v>
      </c>
      <c r="D466" t="inlineStr">
        <is>
          <t>JÖNKÖPINGS LÄN</t>
        </is>
      </c>
      <c r="E466" t="inlineStr">
        <is>
          <t>TRANÅS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36104-2024</t>
        </is>
      </c>
      <c r="B467" s="1" t="n">
        <v>45533</v>
      </c>
      <c r="C467" s="1" t="n">
        <v>45584</v>
      </c>
      <c r="D467" t="inlineStr">
        <is>
          <t>JÖNKÖPINGS LÄN</t>
        </is>
      </c>
      <c r="E467" t="inlineStr">
        <is>
          <t>TRANÅS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36796-2024</t>
        </is>
      </c>
      <c r="B468" s="1" t="n">
        <v>45538</v>
      </c>
      <c r="C468" s="1" t="n">
        <v>45584</v>
      </c>
      <c r="D468" t="inlineStr">
        <is>
          <t>JÖNKÖPINGS LÄN</t>
        </is>
      </c>
      <c r="E468" t="inlineStr">
        <is>
          <t>TRANÅS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37127-2024</t>
        </is>
      </c>
      <c r="B469" s="1" t="n">
        <v>45539</v>
      </c>
      <c r="C469" s="1" t="n">
        <v>45584</v>
      </c>
      <c r="D469" t="inlineStr">
        <is>
          <t>JÖNKÖPINGS LÄN</t>
        </is>
      </c>
      <c r="E469" t="inlineStr">
        <is>
          <t>TRANÅS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37221-2024</t>
        </is>
      </c>
      <c r="B470" s="1" t="n">
        <v>45539</v>
      </c>
      <c r="C470" s="1" t="n">
        <v>45584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37216-2024</t>
        </is>
      </c>
      <c r="B471" s="1" t="n">
        <v>45539</v>
      </c>
      <c r="C471" s="1" t="n">
        <v>45584</v>
      </c>
      <c r="D471" t="inlineStr">
        <is>
          <t>JÖNKÖPINGS LÄN</t>
        </is>
      </c>
      <c r="E471" t="inlineStr">
        <is>
          <t>TRANÅS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36998-2024</t>
        </is>
      </c>
      <c r="B472" s="1" t="n">
        <v>45539</v>
      </c>
      <c r="C472" s="1" t="n">
        <v>45584</v>
      </c>
      <c r="D472" t="inlineStr">
        <is>
          <t>JÖNKÖPINGS LÄN</t>
        </is>
      </c>
      <c r="E472" t="inlineStr">
        <is>
          <t>TRANÅS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37753-2024</t>
        </is>
      </c>
      <c r="B473" s="1" t="n">
        <v>45541</v>
      </c>
      <c r="C473" s="1" t="n">
        <v>45584</v>
      </c>
      <c r="D473" t="inlineStr">
        <is>
          <t>JÖNKÖPINGS LÄN</t>
        </is>
      </c>
      <c r="E473" t="inlineStr">
        <is>
          <t>TRANÅS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37912-2024</t>
        </is>
      </c>
      <c r="B474" s="1" t="n">
        <v>45544</v>
      </c>
      <c r="C474" s="1" t="n">
        <v>45584</v>
      </c>
      <c r="D474" t="inlineStr">
        <is>
          <t>JÖNKÖPINGS LÄN</t>
        </is>
      </c>
      <c r="E474" t="inlineStr">
        <is>
          <t>TRANÅS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37921-2024</t>
        </is>
      </c>
      <c r="B475" s="1" t="n">
        <v>45544</v>
      </c>
      <c r="C475" s="1" t="n">
        <v>45584</v>
      </c>
      <c r="D475" t="inlineStr">
        <is>
          <t>JÖNKÖPINGS LÄN</t>
        </is>
      </c>
      <c r="E475" t="inlineStr">
        <is>
          <t>TRANÅS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39285-2024</t>
        </is>
      </c>
      <c r="B476" s="1" t="n">
        <v>45551</v>
      </c>
      <c r="C476" s="1" t="n">
        <v>45584</v>
      </c>
      <c r="D476" t="inlineStr">
        <is>
          <t>JÖNKÖPINGS LÄN</t>
        </is>
      </c>
      <c r="E476" t="inlineStr">
        <is>
          <t>TRANÅS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39565-2024</t>
        </is>
      </c>
      <c r="B477" s="1" t="n">
        <v>45552</v>
      </c>
      <c r="C477" s="1" t="n">
        <v>45584</v>
      </c>
      <c r="D477" t="inlineStr">
        <is>
          <t>JÖNKÖPINGS LÄN</t>
        </is>
      </c>
      <c r="E477" t="inlineStr">
        <is>
          <t>TRANÅS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39600-2024</t>
        </is>
      </c>
      <c r="B478" s="1" t="n">
        <v>45552</v>
      </c>
      <c r="C478" s="1" t="n">
        <v>45584</v>
      </c>
      <c r="D478" t="inlineStr">
        <is>
          <t>JÖNKÖPINGS LÄN</t>
        </is>
      </c>
      <c r="E478" t="inlineStr">
        <is>
          <t>TRANÅS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39648-2024</t>
        </is>
      </c>
      <c r="B479" s="1" t="n">
        <v>45552</v>
      </c>
      <c r="C479" s="1" t="n">
        <v>45584</v>
      </c>
      <c r="D479" t="inlineStr">
        <is>
          <t>JÖNKÖPINGS LÄN</t>
        </is>
      </c>
      <c r="E479" t="inlineStr">
        <is>
          <t>TRANÅS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39722-2024</t>
        </is>
      </c>
      <c r="B480" s="1" t="n">
        <v>45552</v>
      </c>
      <c r="C480" s="1" t="n">
        <v>45584</v>
      </c>
      <c r="D480" t="inlineStr">
        <is>
          <t>JÖNKÖPINGS LÄN</t>
        </is>
      </c>
      <c r="E480" t="inlineStr">
        <is>
          <t>TRANÅS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39978-2024</t>
        </is>
      </c>
      <c r="B481" s="1" t="n">
        <v>45553</v>
      </c>
      <c r="C481" s="1" t="n">
        <v>45584</v>
      </c>
      <c r="D481" t="inlineStr">
        <is>
          <t>JÖNKÖPINGS LÄN</t>
        </is>
      </c>
      <c r="E481" t="inlineStr">
        <is>
          <t>TRANÅS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39976-2024</t>
        </is>
      </c>
      <c r="B482" s="1" t="n">
        <v>45553</v>
      </c>
      <c r="C482" s="1" t="n">
        <v>45584</v>
      </c>
      <c r="D482" t="inlineStr">
        <is>
          <t>JÖNKÖPINGS LÄN</t>
        </is>
      </c>
      <c r="E482" t="inlineStr">
        <is>
          <t>TRANÅS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40564-2024</t>
        </is>
      </c>
      <c r="B483" s="1" t="n">
        <v>45555</v>
      </c>
      <c r="C483" s="1" t="n">
        <v>45584</v>
      </c>
      <c r="D483" t="inlineStr">
        <is>
          <t>JÖNKÖPINGS LÄN</t>
        </is>
      </c>
      <c r="E483" t="inlineStr">
        <is>
          <t>TRANÅS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40935-2024</t>
        </is>
      </c>
      <c r="B484" s="1" t="n">
        <v>45558</v>
      </c>
      <c r="C484" s="1" t="n">
        <v>45584</v>
      </c>
      <c r="D484" t="inlineStr">
        <is>
          <t>JÖNKÖPINGS LÄN</t>
        </is>
      </c>
      <c r="E484" t="inlineStr">
        <is>
          <t>TRANÅS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42049-2024</t>
        </is>
      </c>
      <c r="B485" s="1" t="n">
        <v>45561</v>
      </c>
      <c r="C485" s="1" t="n">
        <v>45584</v>
      </c>
      <c r="D485" t="inlineStr">
        <is>
          <t>JÖNKÖPINGS LÄN</t>
        </is>
      </c>
      <c r="E485" t="inlineStr">
        <is>
          <t>TRANÅS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42432-2024</t>
        </is>
      </c>
      <c r="B486" s="1" t="n">
        <v>45565</v>
      </c>
      <c r="C486" s="1" t="n">
        <v>45584</v>
      </c>
      <c r="D486" t="inlineStr">
        <is>
          <t>JÖNKÖPINGS LÄN</t>
        </is>
      </c>
      <c r="E486" t="inlineStr">
        <is>
          <t>TRANÅS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43994-2024</t>
        </is>
      </c>
      <c r="B487" s="1" t="n">
        <v>45572</v>
      </c>
      <c r="C487" s="1" t="n">
        <v>45584</v>
      </c>
      <c r="D487" t="inlineStr">
        <is>
          <t>JÖNKÖPINGS LÄN</t>
        </is>
      </c>
      <c r="E487" t="inlineStr">
        <is>
          <t>TRANÅS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46127-2024</t>
        </is>
      </c>
      <c r="B488" s="1" t="n">
        <v>45581</v>
      </c>
      <c r="C488" s="1" t="n">
        <v>45584</v>
      </c>
      <c r="D488" t="inlineStr">
        <is>
          <t>JÖNKÖPINGS LÄN</t>
        </is>
      </c>
      <c r="E488" t="inlineStr">
        <is>
          <t>TRANÅS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46701-2024</t>
        </is>
      </c>
      <c r="B489" s="1" t="n">
        <v>45583</v>
      </c>
      <c r="C489" s="1" t="n">
        <v>45584</v>
      </c>
      <c r="D489" t="inlineStr">
        <is>
          <t>JÖNKÖPINGS LÄN</t>
        </is>
      </c>
      <c r="E489" t="inlineStr">
        <is>
          <t>TRANÅS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46708-2024</t>
        </is>
      </c>
      <c r="B490" s="1" t="n">
        <v>45583</v>
      </c>
      <c r="C490" s="1" t="n">
        <v>45584</v>
      </c>
      <c r="D490" t="inlineStr">
        <is>
          <t>JÖNKÖPINGS LÄN</t>
        </is>
      </c>
      <c r="E490" t="inlineStr">
        <is>
          <t>TRANÅS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46717-2024</t>
        </is>
      </c>
      <c r="B491" s="1" t="n">
        <v>45583</v>
      </c>
      <c r="C491" s="1" t="n">
        <v>45584</v>
      </c>
      <c r="D491" t="inlineStr">
        <is>
          <t>JÖNKÖPINGS LÄN</t>
        </is>
      </c>
      <c r="E491" t="inlineStr">
        <is>
          <t>TRANÅS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46856-2024</t>
        </is>
      </c>
      <c r="B492" s="1" t="n">
        <v>45583</v>
      </c>
      <c r="C492" s="1" t="n">
        <v>45584</v>
      </c>
      <c r="D492" t="inlineStr">
        <is>
          <t>JÖNKÖPINGS LÄN</t>
        </is>
      </c>
      <c r="E492" t="inlineStr">
        <is>
          <t>TRANÅS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46720-2024</t>
        </is>
      </c>
      <c r="B493" s="1" t="n">
        <v>45583</v>
      </c>
      <c r="C493" s="1" t="n">
        <v>45584</v>
      </c>
      <c r="D493" t="inlineStr">
        <is>
          <t>JÖNKÖPINGS LÄN</t>
        </is>
      </c>
      <c r="E493" t="inlineStr">
        <is>
          <t>TRANÅS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46854-2024</t>
        </is>
      </c>
      <c r="B494" s="1" t="n">
        <v>45583</v>
      </c>
      <c r="C494" s="1" t="n">
        <v>45584</v>
      </c>
      <c r="D494" t="inlineStr">
        <is>
          <t>JÖNKÖPINGS LÄN</t>
        </is>
      </c>
      <c r="E494" t="inlineStr">
        <is>
          <t>TRANÅS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>
      <c r="A495" t="inlineStr">
        <is>
          <t>A 46878-2024</t>
        </is>
      </c>
      <c r="B495" s="1" t="n">
        <v>45583</v>
      </c>
      <c r="C495" s="1" t="n">
        <v>45584</v>
      </c>
      <c r="D495" t="inlineStr">
        <is>
          <t>JÖNKÖPINGS LÄN</t>
        </is>
      </c>
      <c r="E495" t="inlineStr">
        <is>
          <t>TRANÅS</t>
        </is>
      </c>
      <c r="G495" t="n">
        <v>14.2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2024-10-19T12:20:31Z</dcterms:created>
  <dcterms:modified xmlns:dcterms="http://purl.org/dc/terms/" xmlns:xsi="http://www.w3.org/2001/XMLSchema-instance" xsi:type="dcterms:W3CDTF">2024-10-19T12:20:32Z</dcterms:modified>
</cp:coreProperties>
</file>