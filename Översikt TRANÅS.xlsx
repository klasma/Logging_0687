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46199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19369-2026</t>
        </is>
      </c>
      <c r="B3" s="1" t="n">
        <v>46133</v>
      </c>
      <c r="C3" s="1" t="n">
        <v>46199</v>
      </c>
      <c r="D3" t="inlineStr">
        <is>
          <t>JÖNKÖPINGS LÄN</t>
        </is>
      </c>
      <c r="E3" t="inlineStr">
        <is>
          <t>TRANÅS</t>
        </is>
      </c>
      <c r="F3" t="inlineStr">
        <is>
          <t>Kyrkan</t>
        </is>
      </c>
      <c r="G3" t="n">
        <v>4.6</v>
      </c>
      <c r="H3" t="n">
        <v>4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Knärot
Grönpyrola
Mindre märgborre
Spillkråka
Skogsödla
Revlummer</t>
        </is>
      </c>
      <c r="S3">
        <f>HYPERLINK("https://klasma.github.io/Logging_0687/artfynd/A 19369-2026 artfynd.xlsx", "A 19369-2026")</f>
        <v/>
      </c>
      <c r="T3">
        <f>HYPERLINK("https://klasma.github.io/Logging_0687/kartor/A 19369-2026 karta.png", "A 19369-2026")</f>
        <v/>
      </c>
      <c r="U3">
        <f>HYPERLINK("https://klasma.github.io/Logging_0687/knärot/A 19369-2026 karta knärot.png", "A 19369-2026")</f>
        <v/>
      </c>
      <c r="V3">
        <f>HYPERLINK("https://klasma.github.io/Logging_0687/klagomål/A 19369-2026 FSC-klagomål.docx", "A 19369-2026")</f>
        <v/>
      </c>
      <c r="W3">
        <f>HYPERLINK("https://klasma.github.io/Logging_0687/klagomålsmail/A 19369-2026 FSC-klagomål mail.docx", "A 19369-2026")</f>
        <v/>
      </c>
      <c r="X3">
        <f>HYPERLINK("https://klasma.github.io/Logging_0687/tillsyn/A 19369-2026 tillsynsbegäran.docx", "A 19369-2026")</f>
        <v/>
      </c>
      <c r="Y3">
        <f>HYPERLINK("https://klasma.github.io/Logging_0687/tillsynsmail/A 19369-2026 tillsynsbegäran mail.docx", "A 19369-2026")</f>
        <v/>
      </c>
      <c r="Z3">
        <f>HYPERLINK("https://klasma.github.io/Logging_0687/fåglar/A 19369-2026 prioriterade fågelarter.docx", "A 19369-2026")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46199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Ask
Liten blekspik
Svart trolldruva
Blåsippa
Grönvit nattviol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39976-2024</t>
        </is>
      </c>
      <c r="B5" s="1" t="n">
        <v>45553</v>
      </c>
      <c r="C5" s="1" t="n">
        <v>46199</v>
      </c>
      <c r="D5" t="inlineStr">
        <is>
          <t>JÖNKÖPINGS LÄN</t>
        </is>
      </c>
      <c r="E5" t="inlineStr">
        <is>
          <t>TRANÅS</t>
        </is>
      </c>
      <c r="G5" t="n">
        <v>4.4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Vårärt
Strutbräken
Vätteros
Blåsippa</t>
        </is>
      </c>
      <c r="S5">
        <f>HYPERLINK("https://klasma.github.io/Logging_0687/artfynd/A 39976-2024 artfynd.xlsx", "A 39976-2024")</f>
        <v/>
      </c>
      <c r="T5">
        <f>HYPERLINK("https://klasma.github.io/Logging_0687/kartor/A 39976-2024 karta.png", "A 39976-2024")</f>
        <v/>
      </c>
      <c r="V5">
        <f>HYPERLINK("https://klasma.github.io/Logging_0687/klagomål/A 39976-2024 FSC-klagomål.docx", "A 39976-2024")</f>
        <v/>
      </c>
      <c r="W5">
        <f>HYPERLINK("https://klasma.github.io/Logging_0687/klagomålsmail/A 39976-2024 FSC-klagomål mail.docx", "A 39976-2024")</f>
        <v/>
      </c>
      <c r="X5">
        <f>HYPERLINK("https://klasma.github.io/Logging_0687/tillsyn/A 39976-2024 tillsynsbegäran.docx", "A 39976-2024")</f>
        <v/>
      </c>
      <c r="Y5">
        <f>HYPERLINK("https://klasma.github.io/Logging_0687/tillsynsmail/A 39976-2024 tillsynsbegäran mail.docx", "A 39976-2024")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46199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46324-2025</t>
        </is>
      </c>
      <c r="B7" s="1" t="n">
        <v>45925</v>
      </c>
      <c r="C7" s="1" t="n">
        <v>46199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9.800000000000001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Enkelbeckasin
Talltita
Tjäder
Kungsfågel</t>
        </is>
      </c>
      <c r="S7">
        <f>HYPERLINK("https://klasma.github.io/Logging_0687/artfynd/A 46324-2025 artfynd.xlsx", "A 46324-2025")</f>
        <v/>
      </c>
      <c r="T7">
        <f>HYPERLINK("https://klasma.github.io/Logging_0687/kartor/A 46324-2025 karta.png", "A 46324-2025")</f>
        <v/>
      </c>
      <c r="V7">
        <f>HYPERLINK("https://klasma.github.io/Logging_0687/klagomål/A 46324-2025 FSC-klagomål.docx", "A 46324-2025")</f>
        <v/>
      </c>
      <c r="W7">
        <f>HYPERLINK("https://klasma.github.io/Logging_0687/klagomålsmail/A 46324-2025 FSC-klagomål mail.docx", "A 46324-2025")</f>
        <v/>
      </c>
      <c r="X7">
        <f>HYPERLINK("https://klasma.github.io/Logging_0687/tillsyn/A 46324-2025 tillsynsbegäran.docx", "A 46324-2025")</f>
        <v/>
      </c>
      <c r="Y7">
        <f>HYPERLINK("https://klasma.github.io/Logging_0687/tillsynsmail/A 46324-2025 tillsynsbegäran mail.docx", "A 46324-2025")</f>
        <v/>
      </c>
      <c r="Z7">
        <f>HYPERLINK("https://klasma.github.io/Logging_0687/fåglar/A 46324-2025 prioriterade fågelarter.docx", "A 46324-2025")</f>
        <v/>
      </c>
    </row>
    <row r="8" ht="15" customHeight="1">
      <c r="A8" t="inlineStr">
        <is>
          <t>A 10480-2023</t>
        </is>
      </c>
      <c r="B8" s="1" t="n">
        <v>44987</v>
      </c>
      <c r="C8" s="1" t="n">
        <v>46199</v>
      </c>
      <c r="D8" t="inlineStr">
        <is>
          <t>JÖNKÖPINGS LÄN</t>
        </is>
      </c>
      <c r="E8" t="inlineStr">
        <is>
          <t>TRANÅS</t>
        </is>
      </c>
      <c r="G8" t="n">
        <v>3.6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Svart trolldruva
Underviol
Blåsippa
Gullviva</t>
        </is>
      </c>
      <c r="S8">
        <f>HYPERLINK("https://klasma.github.io/Logging_0687/artfynd/A 10480-2023 artfynd.xlsx", "A 10480-2023")</f>
        <v/>
      </c>
      <c r="T8">
        <f>HYPERLINK("https://klasma.github.io/Logging_0687/kartor/A 10480-2023 karta.png", "A 10480-2023")</f>
        <v/>
      </c>
      <c r="V8">
        <f>HYPERLINK("https://klasma.github.io/Logging_0687/klagomål/A 10480-2023 FSC-klagomål.docx", "A 10480-2023")</f>
        <v/>
      </c>
      <c r="W8">
        <f>HYPERLINK("https://klasma.github.io/Logging_0687/klagomålsmail/A 10480-2023 FSC-klagomål mail.docx", "A 10480-2023")</f>
        <v/>
      </c>
      <c r="X8">
        <f>HYPERLINK("https://klasma.github.io/Logging_0687/tillsyn/A 10480-2023 tillsynsbegäran.docx", "A 10480-2023")</f>
        <v/>
      </c>
      <c r="Y8">
        <f>HYPERLINK("https://klasma.github.io/Logging_0687/tillsynsmail/A 10480-2023 tillsynsbegäran mail.docx", "A 10480-2023")</f>
        <v/>
      </c>
    </row>
    <row r="9" ht="15" customHeight="1">
      <c r="A9" t="inlineStr">
        <is>
          <t>A 59532-2025</t>
        </is>
      </c>
      <c r="B9" s="1" t="n">
        <v>45989</v>
      </c>
      <c r="C9" s="1" t="n">
        <v>46199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Gullpudra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46815-2025</t>
        </is>
      </c>
      <c r="B10" s="1" t="n">
        <v>45926</v>
      </c>
      <c r="C10" s="1" t="n">
        <v>46199</v>
      </c>
      <c r="D10" t="inlineStr">
        <is>
          <t>JÖNKÖPINGS LÄN</t>
        </is>
      </c>
      <c r="E10" t="inlineStr">
        <is>
          <t>TRANÅS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Vårärt
Underviol
Vätteros</t>
        </is>
      </c>
      <c r="S10">
        <f>HYPERLINK("https://klasma.github.io/Logging_0687/artfynd/A 46815-2025 artfynd.xlsx", "A 46815-2025")</f>
        <v/>
      </c>
      <c r="T10">
        <f>HYPERLINK("https://klasma.github.io/Logging_0687/kartor/A 46815-2025 karta.png", "A 46815-2025")</f>
        <v/>
      </c>
      <c r="V10">
        <f>HYPERLINK("https://klasma.github.io/Logging_0687/klagomål/A 46815-2025 FSC-klagomål.docx", "A 46815-2025")</f>
        <v/>
      </c>
      <c r="W10">
        <f>HYPERLINK("https://klasma.github.io/Logging_0687/klagomålsmail/A 46815-2025 FSC-klagomål mail.docx", "A 46815-2025")</f>
        <v/>
      </c>
      <c r="X10">
        <f>HYPERLINK("https://klasma.github.io/Logging_0687/tillsyn/A 46815-2025 tillsynsbegäran.docx", "A 46815-2025")</f>
        <v/>
      </c>
      <c r="Y10">
        <f>HYPERLINK("https://klasma.github.io/Logging_0687/tillsynsmail/A 46815-2025 tillsynsbegäran mail.docx", "A 46815-2025")</f>
        <v/>
      </c>
    </row>
    <row r="11" ht="15" customHeight="1">
      <c r="A11" t="inlineStr">
        <is>
          <t>A 18179-2024</t>
        </is>
      </c>
      <c r="B11" s="1" t="n">
        <v>45420</v>
      </c>
      <c r="C11" s="1" t="n">
        <v>46199</v>
      </c>
      <c r="D11" t="inlineStr">
        <is>
          <t>JÖNKÖPINGS LÄN</t>
        </is>
      </c>
      <c r="E11" t="inlineStr">
        <is>
          <t>TRANÅS</t>
        </is>
      </c>
      <c r="G11" t="n">
        <v>1.9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Fältgentiana
Svinrot
Åkerväddsantennmal</t>
        </is>
      </c>
      <c r="S11">
        <f>HYPERLINK("https://klasma.github.io/Logging_0687/artfynd/A 18179-2024 artfynd.xlsx", "A 18179-2024")</f>
        <v/>
      </c>
      <c r="T11">
        <f>HYPERLINK("https://klasma.github.io/Logging_0687/kartor/A 18179-2024 karta.png", "A 18179-2024")</f>
        <v/>
      </c>
      <c r="V11">
        <f>HYPERLINK("https://klasma.github.io/Logging_0687/klagomål/A 18179-2024 FSC-klagomål.docx", "A 18179-2024")</f>
        <v/>
      </c>
      <c r="W11">
        <f>HYPERLINK("https://klasma.github.io/Logging_0687/klagomålsmail/A 18179-2024 FSC-klagomål mail.docx", "A 18179-2024")</f>
        <v/>
      </c>
      <c r="X11">
        <f>HYPERLINK("https://klasma.github.io/Logging_0687/tillsyn/A 18179-2024 tillsynsbegäran.docx", "A 18179-2024")</f>
        <v/>
      </c>
      <c r="Y11">
        <f>HYPERLINK("https://klasma.github.io/Logging_0687/tillsynsmail/A 18179-2024 tillsynsbegäran mail.docx", "A 18179-2024")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46199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Liten hornflikmossa
Svavelriska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46199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59046-2025</t>
        </is>
      </c>
      <c r="B14" s="1" t="n">
        <v>45988</v>
      </c>
      <c r="C14" s="1" t="n">
        <v>46199</v>
      </c>
      <c r="D14" t="inlineStr">
        <is>
          <t>JÖNKÖPINGS LÄN</t>
        </is>
      </c>
      <c r="E14" t="inlineStr">
        <is>
          <t>TRANÅS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Sommarfibbla
Svinrot</t>
        </is>
      </c>
      <c r="S14">
        <f>HYPERLINK("https://klasma.github.io/Logging_0687/artfynd/A 59046-2025 artfynd.xlsx", "A 59046-2025")</f>
        <v/>
      </c>
      <c r="T14">
        <f>HYPERLINK("https://klasma.github.io/Logging_0687/kartor/A 59046-2025 karta.png", "A 59046-2025")</f>
        <v/>
      </c>
      <c r="V14">
        <f>HYPERLINK("https://klasma.github.io/Logging_0687/klagomål/A 59046-2025 FSC-klagomål.docx", "A 59046-2025")</f>
        <v/>
      </c>
      <c r="W14">
        <f>HYPERLINK("https://klasma.github.io/Logging_0687/klagomålsmail/A 59046-2025 FSC-klagomål mail.docx", "A 59046-2025")</f>
        <v/>
      </c>
      <c r="X14">
        <f>HYPERLINK("https://klasma.github.io/Logging_0687/tillsyn/A 59046-2025 tillsynsbegäran.docx", "A 59046-2025")</f>
        <v/>
      </c>
      <c r="Y14">
        <f>HYPERLINK("https://klasma.github.io/Logging_0687/tillsynsmail/A 59046-2025 tillsynsbegäran mail.docx", "A 59046-2025")</f>
        <v/>
      </c>
    </row>
    <row r="15" ht="15" customHeight="1">
      <c r="A15" t="inlineStr">
        <is>
          <t>A 29486-2023</t>
        </is>
      </c>
      <c r="B15" s="1" t="n">
        <v>45106</v>
      </c>
      <c r="C15" s="1" t="n">
        <v>46199</v>
      </c>
      <c r="D15" t="inlineStr">
        <is>
          <t>JÖNKÖPINGS LÄN</t>
        </is>
      </c>
      <c r="E15" t="inlineStr">
        <is>
          <t>TRANÅS</t>
        </is>
      </c>
      <c r="G15" t="n">
        <v>4.3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Åkerrättika
Klofibbla</t>
        </is>
      </c>
      <c r="S15">
        <f>HYPERLINK("https://klasma.github.io/Logging_0687/artfynd/A 29486-2023 artfynd.xlsx", "A 29486-2023")</f>
        <v/>
      </c>
      <c r="T15">
        <f>HYPERLINK("https://klasma.github.io/Logging_0687/kartor/A 29486-2023 karta.png", "A 29486-2023")</f>
        <v/>
      </c>
      <c r="V15">
        <f>HYPERLINK("https://klasma.github.io/Logging_0687/klagomål/A 29486-2023 FSC-klagomål.docx", "A 29486-2023")</f>
        <v/>
      </c>
      <c r="W15">
        <f>HYPERLINK("https://klasma.github.io/Logging_0687/klagomålsmail/A 29486-2023 FSC-klagomål mail.docx", "A 29486-2023")</f>
        <v/>
      </c>
      <c r="X15">
        <f>HYPERLINK("https://klasma.github.io/Logging_0687/tillsyn/A 29486-2023 tillsynsbegäran.docx", "A 29486-2023")</f>
        <v/>
      </c>
      <c r="Y15">
        <f>HYPERLINK("https://klasma.github.io/Logging_0687/tillsynsmail/A 29486-2023 tillsynsbegäran mail.docx", "A 29486-2023")</f>
        <v/>
      </c>
    </row>
    <row r="16" ht="15" customHeight="1">
      <c r="A16" t="inlineStr">
        <is>
          <t>A 50634-2023</t>
        </is>
      </c>
      <c r="B16" s="1" t="n">
        <v>45217</v>
      </c>
      <c r="C16" s="1" t="n">
        <v>46199</v>
      </c>
      <c r="D16" t="inlineStr">
        <is>
          <t>JÖNKÖPINGS LÄN</t>
        </is>
      </c>
      <c r="E16" t="inlineStr">
        <is>
          <t>TRANÅS</t>
        </is>
      </c>
      <c r="G16" t="n">
        <v>0.9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Rördrom
Rörsångare</t>
        </is>
      </c>
      <c r="S16">
        <f>HYPERLINK("https://klasma.github.io/Logging_0687/artfynd/A 50634-2023 artfynd.xlsx", "A 50634-2023")</f>
        <v/>
      </c>
      <c r="T16">
        <f>HYPERLINK("https://klasma.github.io/Logging_0687/kartor/A 50634-2023 karta.png", "A 50634-2023")</f>
        <v/>
      </c>
      <c r="V16">
        <f>HYPERLINK("https://klasma.github.io/Logging_0687/klagomål/A 50634-2023 FSC-klagomål.docx", "A 50634-2023")</f>
        <v/>
      </c>
      <c r="W16">
        <f>HYPERLINK("https://klasma.github.io/Logging_0687/klagomålsmail/A 50634-2023 FSC-klagomål mail.docx", "A 50634-2023")</f>
        <v/>
      </c>
      <c r="X16">
        <f>HYPERLINK("https://klasma.github.io/Logging_0687/tillsyn/A 50634-2023 tillsynsbegäran.docx", "A 50634-2023")</f>
        <v/>
      </c>
      <c r="Y16">
        <f>HYPERLINK("https://klasma.github.io/Logging_0687/tillsynsmail/A 50634-2023 tillsynsbegäran mail.docx", "A 50634-2023")</f>
        <v/>
      </c>
    </row>
    <row r="17" ht="15" customHeight="1">
      <c r="A17" t="inlineStr">
        <is>
          <t>A 59543-2022</t>
        </is>
      </c>
      <c r="B17" s="1" t="n">
        <v>44900</v>
      </c>
      <c r="C17" s="1" t="n">
        <v>46199</v>
      </c>
      <c r="D17" t="inlineStr">
        <is>
          <t>JÖNKÖPINGS LÄN</t>
        </is>
      </c>
      <c r="E17" t="inlineStr">
        <is>
          <t>TRANÅS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vattensalamander
Mindre vattensalamander</t>
        </is>
      </c>
      <c r="S17">
        <f>HYPERLINK("https://klasma.github.io/Logging_0687/artfynd/A 59543-2022 artfynd.xlsx", "A 59543-2022")</f>
        <v/>
      </c>
      <c r="T17">
        <f>HYPERLINK("https://klasma.github.io/Logging_0687/kartor/A 59543-2022 karta.png", "A 59543-2022")</f>
        <v/>
      </c>
      <c r="V17">
        <f>HYPERLINK("https://klasma.github.io/Logging_0687/klagomål/A 59543-2022 FSC-klagomål.docx", "A 59543-2022")</f>
        <v/>
      </c>
      <c r="W17">
        <f>HYPERLINK("https://klasma.github.io/Logging_0687/klagomålsmail/A 59543-2022 FSC-klagomål mail.docx", "A 59543-2022")</f>
        <v/>
      </c>
      <c r="X17">
        <f>HYPERLINK("https://klasma.github.io/Logging_0687/tillsyn/A 59543-2022 tillsynsbegäran.docx", "A 59543-2022")</f>
        <v/>
      </c>
      <c r="Y17">
        <f>HYPERLINK("https://klasma.github.io/Logging_0687/tillsynsmail/A 59543-2022 tillsynsbegäran mail.docx", "A 59543-2022")</f>
        <v/>
      </c>
    </row>
    <row r="18" ht="15" customHeight="1">
      <c r="A18" t="inlineStr">
        <is>
          <t>A 26395-2022</t>
        </is>
      </c>
      <c r="B18" s="1" t="n">
        <v>44735</v>
      </c>
      <c r="C18" s="1" t="n">
        <v>46199</v>
      </c>
      <c r="D18" t="inlineStr">
        <is>
          <t>JÖNKÖPINGS LÄN</t>
        </is>
      </c>
      <c r="E18" t="inlineStr">
        <is>
          <t>TRANÅS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Ängsnycklar</t>
        </is>
      </c>
      <c r="S18">
        <f>HYPERLINK("https://klasma.github.io/Logging_0687/artfynd/A 26395-2022 artfynd.xlsx", "A 26395-2022")</f>
        <v/>
      </c>
      <c r="T18">
        <f>HYPERLINK("https://klasma.github.io/Logging_0687/kartor/A 26395-2022 karta.png", "A 26395-2022")</f>
        <v/>
      </c>
      <c r="V18">
        <f>HYPERLINK("https://klasma.github.io/Logging_0687/klagomål/A 26395-2022 FSC-klagomål.docx", "A 26395-2022")</f>
        <v/>
      </c>
      <c r="W18">
        <f>HYPERLINK("https://klasma.github.io/Logging_0687/klagomålsmail/A 26395-2022 FSC-klagomål mail.docx", "A 26395-2022")</f>
        <v/>
      </c>
      <c r="X18">
        <f>HYPERLINK("https://klasma.github.io/Logging_0687/tillsyn/A 26395-2022 tillsynsbegäran.docx", "A 26395-2022")</f>
        <v/>
      </c>
      <c r="Y18">
        <f>HYPERLINK("https://klasma.github.io/Logging_0687/tillsynsmail/A 26395-2022 tillsynsbegäran mail.docx", "A 26395-2022")</f>
        <v/>
      </c>
    </row>
    <row r="19" ht="15" customHeight="1">
      <c r="A19" t="inlineStr">
        <is>
          <t>A 37703-2023</t>
        </is>
      </c>
      <c r="B19" s="1" t="n">
        <v>45159</v>
      </c>
      <c r="C19" s="1" t="n">
        <v>46199</v>
      </c>
      <c r="D19" t="inlineStr">
        <is>
          <t>JÖNKÖPINGS LÄN</t>
        </is>
      </c>
      <c r="E19" t="inlineStr">
        <is>
          <t>TRANÅS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37703-2023 artfynd.xlsx", "A 37703-2023")</f>
        <v/>
      </c>
      <c r="T19">
        <f>HYPERLINK("https://klasma.github.io/Logging_0687/kartor/A 37703-2023 karta.png", "A 37703-2023")</f>
        <v/>
      </c>
      <c r="V19">
        <f>HYPERLINK("https://klasma.github.io/Logging_0687/klagomål/A 37703-2023 FSC-klagomål.docx", "A 37703-2023")</f>
        <v/>
      </c>
      <c r="W19">
        <f>HYPERLINK("https://klasma.github.io/Logging_0687/klagomålsmail/A 37703-2023 FSC-klagomål mail.docx", "A 37703-2023")</f>
        <v/>
      </c>
      <c r="X19">
        <f>HYPERLINK("https://klasma.github.io/Logging_0687/tillsyn/A 37703-2023 tillsynsbegäran.docx", "A 37703-2023")</f>
        <v/>
      </c>
      <c r="Y19">
        <f>HYPERLINK("https://klasma.github.io/Logging_0687/tillsynsmail/A 37703-2023 tillsynsbegäran mail.docx", "A 37703-2023")</f>
        <v/>
      </c>
    </row>
    <row r="20" ht="15" customHeight="1">
      <c r="A20" t="inlineStr">
        <is>
          <t>A 44723-2025</t>
        </is>
      </c>
      <c r="B20" s="1" t="n">
        <v>45917</v>
      </c>
      <c r="C20" s="1" t="n">
        <v>46199</v>
      </c>
      <c r="D20" t="inlineStr">
        <is>
          <t>JÖNKÖPINGS LÄN</t>
        </is>
      </c>
      <c r="E20" t="inlineStr">
        <is>
          <t>TRANÅS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44723-2025 artfynd.xlsx", "A 44723-2025")</f>
        <v/>
      </c>
      <c r="T20">
        <f>HYPERLINK("https://klasma.github.io/Logging_0687/kartor/A 44723-2025 karta.png", "A 44723-2025")</f>
        <v/>
      </c>
      <c r="V20">
        <f>HYPERLINK("https://klasma.github.io/Logging_0687/klagomål/A 44723-2025 FSC-klagomål.docx", "A 44723-2025")</f>
        <v/>
      </c>
      <c r="W20">
        <f>HYPERLINK("https://klasma.github.io/Logging_0687/klagomålsmail/A 44723-2025 FSC-klagomål mail.docx", "A 44723-2025")</f>
        <v/>
      </c>
      <c r="X20">
        <f>HYPERLINK("https://klasma.github.io/Logging_0687/tillsyn/A 44723-2025 tillsynsbegäran.docx", "A 44723-2025")</f>
        <v/>
      </c>
      <c r="Y20">
        <f>HYPERLINK("https://klasma.github.io/Logging_0687/tillsynsmail/A 44723-2025 tillsynsbegäran mail.docx", "A 44723-2025")</f>
        <v/>
      </c>
    </row>
    <row r="21" ht="15" customHeight="1">
      <c r="A21" t="inlineStr">
        <is>
          <t>A 44235-2025</t>
        </is>
      </c>
      <c r="B21" s="1" t="n">
        <v>45915</v>
      </c>
      <c r="C21" s="1" t="n">
        <v>46199</v>
      </c>
      <c r="D21" t="inlineStr">
        <is>
          <t>JÖNKÖPINGS LÄN</t>
        </is>
      </c>
      <c r="E21" t="inlineStr">
        <is>
          <t>TRANÅS</t>
        </is>
      </c>
      <c r="G21" t="n">
        <v>21.9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44235-2025 artfynd.xlsx", "A 44235-2025")</f>
        <v/>
      </c>
      <c r="T21">
        <f>HYPERLINK("https://klasma.github.io/Logging_0687/kartor/A 44235-2025 karta.png", "A 44235-2025")</f>
        <v/>
      </c>
      <c r="V21">
        <f>HYPERLINK("https://klasma.github.io/Logging_0687/klagomål/A 44235-2025 FSC-klagomål.docx", "A 44235-2025")</f>
        <v/>
      </c>
      <c r="W21">
        <f>HYPERLINK("https://klasma.github.io/Logging_0687/klagomålsmail/A 44235-2025 FSC-klagomål mail.docx", "A 44235-2025")</f>
        <v/>
      </c>
      <c r="X21">
        <f>HYPERLINK("https://klasma.github.io/Logging_0687/tillsyn/A 44235-2025 tillsynsbegäran.docx", "A 44235-2025")</f>
        <v/>
      </c>
      <c r="Y21">
        <f>HYPERLINK("https://klasma.github.io/Logging_0687/tillsynsmail/A 44235-2025 tillsynsbegäran mail.docx", "A 44235-2025")</f>
        <v/>
      </c>
    </row>
    <row r="22" ht="15" customHeight="1">
      <c r="A22" t="inlineStr">
        <is>
          <t>A 20278-2025</t>
        </is>
      </c>
      <c r="B22" s="1" t="n">
        <v>45774</v>
      </c>
      <c r="C22" s="1" t="n">
        <v>46199</v>
      </c>
      <c r="D22" t="inlineStr">
        <is>
          <t>JÖNKÖPINGS LÄN</t>
        </is>
      </c>
      <c r="E22" t="inlineStr">
        <is>
          <t>TRANÅS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HYPERLINK("https://klasma.github.io/Logging_0687/artfynd/A 20278-2025 artfynd.xlsx", "A 20278-2025")</f>
        <v/>
      </c>
      <c r="T22">
        <f>HYPERLINK("https://klasma.github.io/Logging_0687/kartor/A 20278-2025 karta.png", "A 20278-2025")</f>
        <v/>
      </c>
      <c r="V22">
        <f>HYPERLINK("https://klasma.github.io/Logging_0687/klagomål/A 20278-2025 FSC-klagomål.docx", "A 20278-2025")</f>
        <v/>
      </c>
      <c r="W22">
        <f>HYPERLINK("https://klasma.github.io/Logging_0687/klagomålsmail/A 20278-2025 FSC-klagomål mail.docx", "A 20278-2025")</f>
        <v/>
      </c>
      <c r="X22">
        <f>HYPERLINK("https://klasma.github.io/Logging_0687/tillsyn/A 20278-2025 tillsynsbegäran.docx", "A 20278-2025")</f>
        <v/>
      </c>
      <c r="Y22">
        <f>HYPERLINK("https://klasma.github.io/Logging_0687/tillsynsmail/A 20278-2025 tillsynsbegäran mail.docx", "A 20278-2025")</f>
        <v/>
      </c>
      <c r="Z22">
        <f>HYPERLINK("https://klasma.github.io/Logging_0687/fåglar/A 20278-2025 prioriterade fågelarter.docx", "A 20278-2025")</f>
        <v/>
      </c>
    </row>
    <row r="23" ht="15" customHeight="1">
      <c r="A23" t="inlineStr">
        <is>
          <t>A 988-2026</t>
        </is>
      </c>
      <c r="B23" s="1" t="n">
        <v>46029</v>
      </c>
      <c r="C23" s="1" t="n">
        <v>46199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HYPERLINK("https://klasma.github.io/Logging_0687/artfynd/A 988-2026 artfynd.xlsx", "A 988-2026")</f>
        <v/>
      </c>
      <c r="T23">
        <f>HYPERLINK("https://klasma.github.io/Logging_0687/kartor/A 988-2026 karta.png", "A 988-2026")</f>
        <v/>
      </c>
      <c r="V23">
        <f>HYPERLINK("https://klasma.github.io/Logging_0687/klagomål/A 988-2026 FSC-klagomål.docx", "A 988-2026")</f>
        <v/>
      </c>
      <c r="W23">
        <f>HYPERLINK("https://klasma.github.io/Logging_0687/klagomålsmail/A 988-2026 FSC-klagomål mail.docx", "A 988-2026")</f>
        <v/>
      </c>
      <c r="X23">
        <f>HYPERLINK("https://klasma.github.io/Logging_0687/tillsyn/A 988-2026 tillsynsbegäran.docx", "A 988-2026")</f>
        <v/>
      </c>
      <c r="Y23">
        <f>HYPERLINK("https://klasma.github.io/Logging_0687/tillsynsmail/A 988-2026 tillsynsbegäran mail.docx", "A 988-2026")</f>
        <v/>
      </c>
    </row>
    <row r="24" ht="15" customHeight="1">
      <c r="A24" t="inlineStr">
        <is>
          <t>A 31857-2024</t>
        </is>
      </c>
      <c r="B24" s="1" t="n">
        <v>45509</v>
      </c>
      <c r="C24" s="1" t="n">
        <v>46199</v>
      </c>
      <c r="D24" t="inlineStr">
        <is>
          <t>JÖNKÖPINGS LÄN</t>
        </is>
      </c>
      <c r="E24" t="inlineStr">
        <is>
          <t>TRANÅS</t>
        </is>
      </c>
      <c r="F24" t="inlineStr">
        <is>
          <t>Kommuner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HYPERLINK("https://klasma.github.io/Logging_0687/artfynd/A 31857-2024 artfynd.xlsx", "A 31857-2024")</f>
        <v/>
      </c>
      <c r="T24">
        <f>HYPERLINK("https://klasma.github.io/Logging_0687/kartor/A 31857-2024 karta.png", "A 31857-2024")</f>
        <v/>
      </c>
      <c r="V24">
        <f>HYPERLINK("https://klasma.github.io/Logging_0687/klagomål/A 31857-2024 FSC-klagomål.docx", "A 31857-2024")</f>
        <v/>
      </c>
      <c r="W24">
        <f>HYPERLINK("https://klasma.github.io/Logging_0687/klagomålsmail/A 31857-2024 FSC-klagomål mail.docx", "A 31857-2024")</f>
        <v/>
      </c>
      <c r="X24">
        <f>HYPERLINK("https://klasma.github.io/Logging_0687/tillsyn/A 31857-2024 tillsynsbegäran.docx", "A 31857-2024")</f>
        <v/>
      </c>
      <c r="Y24">
        <f>HYPERLINK("https://klasma.github.io/Logging_0687/tillsynsmail/A 31857-2024 tillsynsbegäran mail.docx", "A 31857-2024")</f>
        <v/>
      </c>
    </row>
    <row r="25" ht="15" customHeight="1">
      <c r="A25" t="inlineStr">
        <is>
          <t>A 20822-2024</t>
        </is>
      </c>
      <c r="B25" s="1" t="n">
        <v>45439</v>
      </c>
      <c r="C25" s="1" t="n">
        <v>46199</v>
      </c>
      <c r="D25" t="inlineStr">
        <is>
          <t>JÖNKÖPINGS LÄN</t>
        </is>
      </c>
      <c r="E25" t="inlineStr">
        <is>
          <t>TRANÅS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HYPERLINK("https://klasma.github.io/Logging_0687/artfynd/A 20822-2024 artfynd.xlsx", "A 20822-2024")</f>
        <v/>
      </c>
      <c r="T25">
        <f>HYPERLINK("https://klasma.github.io/Logging_0687/kartor/A 20822-2024 karta.png", "A 20822-2024")</f>
        <v/>
      </c>
      <c r="V25">
        <f>HYPERLINK("https://klasma.github.io/Logging_0687/klagomål/A 20822-2024 FSC-klagomål.docx", "A 20822-2024")</f>
        <v/>
      </c>
      <c r="W25">
        <f>HYPERLINK("https://klasma.github.io/Logging_0687/klagomålsmail/A 20822-2024 FSC-klagomål mail.docx", "A 20822-2024")</f>
        <v/>
      </c>
      <c r="X25">
        <f>HYPERLINK("https://klasma.github.io/Logging_0687/tillsyn/A 20822-2024 tillsynsbegäran.docx", "A 20822-2024")</f>
        <v/>
      </c>
      <c r="Y25">
        <f>HYPERLINK("https://klasma.github.io/Logging_0687/tillsynsmail/A 20822-2024 tillsynsbegäran mail.docx", "A 20822-2024")</f>
        <v/>
      </c>
    </row>
    <row r="26" ht="15" customHeight="1">
      <c r="A26" t="inlineStr">
        <is>
          <t>A 19465-2026</t>
        </is>
      </c>
      <c r="B26" s="1" t="n">
        <v>46129</v>
      </c>
      <c r="C26" s="1" t="n">
        <v>46199</v>
      </c>
      <c r="D26" t="inlineStr">
        <is>
          <t>JÖNKÖPINGS LÄN</t>
        </is>
      </c>
      <c r="E26" t="inlineStr">
        <is>
          <t>TRANÅS</t>
        </is>
      </c>
      <c r="F26" t="inlineStr">
        <is>
          <t>Kommuner</t>
        </is>
      </c>
      <c r="G26" t="n">
        <v>5.7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HYPERLINK("https://klasma.github.io/Logging_0687/artfynd/A 19465-2026 artfynd.xlsx", "A 19465-2026")</f>
        <v/>
      </c>
      <c r="T26">
        <f>HYPERLINK("https://klasma.github.io/Logging_0687/kartor/A 19465-2026 karta.png", "A 19465-2026")</f>
        <v/>
      </c>
      <c r="V26">
        <f>HYPERLINK("https://klasma.github.io/Logging_0687/klagomål/A 19465-2026 FSC-klagomål.docx", "A 19465-2026")</f>
        <v/>
      </c>
      <c r="W26">
        <f>HYPERLINK("https://klasma.github.io/Logging_0687/klagomålsmail/A 19465-2026 FSC-klagomål mail.docx", "A 19465-2026")</f>
        <v/>
      </c>
      <c r="X26">
        <f>HYPERLINK("https://klasma.github.io/Logging_0687/tillsyn/A 19465-2026 tillsynsbegäran.docx", "A 19465-2026")</f>
        <v/>
      </c>
      <c r="Y26">
        <f>HYPERLINK("https://klasma.github.io/Logging_0687/tillsynsmail/A 19465-2026 tillsynsbegäran mail.docx", "A 19465-2026")</f>
        <v/>
      </c>
    </row>
    <row r="27" ht="15" customHeight="1">
      <c r="A27" t="inlineStr">
        <is>
          <t>A 1720-2024</t>
        </is>
      </c>
      <c r="B27" s="1" t="n">
        <v>45307</v>
      </c>
      <c r="C27" s="1" t="n">
        <v>46199</v>
      </c>
      <c r="D27" t="inlineStr">
        <is>
          <t>JÖNKÖPINGS LÄN</t>
        </is>
      </c>
      <c r="E27" t="inlineStr">
        <is>
          <t>TRANÅS</t>
        </is>
      </c>
      <c r="F27" t="inlineStr">
        <is>
          <t>Kommuner</t>
        </is>
      </c>
      <c r="G27" t="n">
        <v>5.6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HYPERLINK("https://klasma.github.io/Logging_0687/artfynd/A 1720-2024 artfynd.xlsx", "A 1720-2024")</f>
        <v/>
      </c>
      <c r="T27">
        <f>HYPERLINK("https://klasma.github.io/Logging_0687/kartor/A 1720-2024 karta.png", "A 1720-2024")</f>
        <v/>
      </c>
      <c r="V27">
        <f>HYPERLINK("https://klasma.github.io/Logging_0687/klagomål/A 1720-2024 FSC-klagomål.docx", "A 1720-2024")</f>
        <v/>
      </c>
      <c r="W27">
        <f>HYPERLINK("https://klasma.github.io/Logging_0687/klagomålsmail/A 1720-2024 FSC-klagomål mail.docx", "A 1720-2024")</f>
        <v/>
      </c>
      <c r="X27">
        <f>HYPERLINK("https://klasma.github.io/Logging_0687/tillsyn/A 1720-2024 tillsynsbegäran.docx", "A 1720-2024")</f>
        <v/>
      </c>
      <c r="Y27">
        <f>HYPERLINK("https://klasma.github.io/Logging_0687/tillsynsmail/A 1720-2024 tillsynsbegäran mail.docx", "A 1720-2024")</f>
        <v/>
      </c>
    </row>
    <row r="28" ht="15" customHeight="1">
      <c r="A28" t="inlineStr">
        <is>
          <t>A 19695-2025</t>
        </is>
      </c>
      <c r="B28" s="1" t="n">
        <v>45770</v>
      </c>
      <c r="C28" s="1" t="n">
        <v>46199</v>
      </c>
      <c r="D28" t="inlineStr">
        <is>
          <t>JÖNKÖPINGS LÄN</t>
        </is>
      </c>
      <c r="E28" t="inlineStr">
        <is>
          <t>TRANÅS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19695-2025 artfynd.xlsx", "A 19695-2025")</f>
        <v/>
      </c>
      <c r="T28">
        <f>HYPERLINK("https://klasma.github.io/Logging_0687/kartor/A 19695-2025 karta.png", "A 19695-2025")</f>
        <v/>
      </c>
      <c r="V28">
        <f>HYPERLINK("https://klasma.github.io/Logging_0687/klagomål/A 19695-2025 FSC-klagomål.docx", "A 19695-2025")</f>
        <v/>
      </c>
      <c r="W28">
        <f>HYPERLINK("https://klasma.github.io/Logging_0687/klagomålsmail/A 19695-2025 FSC-klagomål mail.docx", "A 19695-2025")</f>
        <v/>
      </c>
      <c r="X28">
        <f>HYPERLINK("https://klasma.github.io/Logging_0687/tillsyn/A 19695-2025 tillsynsbegäran.docx", "A 19695-2025")</f>
        <v/>
      </c>
      <c r="Y28">
        <f>HYPERLINK("https://klasma.github.io/Logging_0687/tillsynsmail/A 19695-2025 tillsynsbegäran mail.docx", "A 19695-2025")</f>
        <v/>
      </c>
    </row>
    <row r="29" ht="15" customHeight="1">
      <c r="A29" t="inlineStr">
        <is>
          <t>A 26618-2026</t>
        </is>
      </c>
      <c r="B29" s="1" t="n">
        <v>46184</v>
      </c>
      <c r="C29" s="1" t="n">
        <v>46199</v>
      </c>
      <c r="D29" t="inlineStr">
        <is>
          <t>JÖNKÖPINGS LÄN</t>
        </is>
      </c>
      <c r="E29" t="inlineStr">
        <is>
          <t>TRANÅS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26618-2026 artfynd.xlsx", "A 26618-2026")</f>
        <v/>
      </c>
      <c r="T29">
        <f>HYPERLINK("https://klasma.github.io/Logging_0687/kartor/A 26618-2026 karta.png", "A 26618-2026")</f>
        <v/>
      </c>
      <c r="V29">
        <f>HYPERLINK("https://klasma.github.io/Logging_0687/klagomål/A 26618-2026 FSC-klagomål.docx", "A 26618-2026")</f>
        <v/>
      </c>
      <c r="W29">
        <f>HYPERLINK("https://klasma.github.io/Logging_0687/klagomålsmail/A 26618-2026 FSC-klagomål mail.docx", "A 26618-2026")</f>
        <v/>
      </c>
      <c r="X29">
        <f>HYPERLINK("https://klasma.github.io/Logging_0687/tillsyn/A 26618-2026 tillsynsbegäran.docx", "A 26618-2026")</f>
        <v/>
      </c>
      <c r="Y29">
        <f>HYPERLINK("https://klasma.github.io/Logging_0687/tillsynsmail/A 26618-2026 tillsynsbegäran mail.docx", "A 26618-2026")</f>
        <v/>
      </c>
    </row>
    <row r="30" ht="15" customHeight="1">
      <c r="A30" t="inlineStr">
        <is>
          <t>A 29382-2022</t>
        </is>
      </c>
      <c r="B30" s="1" t="n">
        <v>44753</v>
      </c>
      <c r="C30" s="1" t="n">
        <v>46199</v>
      </c>
      <c r="D30" t="inlineStr">
        <is>
          <t>JÖNKÖPINGS LÄN</t>
        </is>
      </c>
      <c r="E30" t="inlineStr">
        <is>
          <t>TRANÅS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HYPERLINK("https://klasma.github.io/Logging_0687/artfynd/A 29382-2022 artfynd.xlsx", "A 29382-2022")</f>
        <v/>
      </c>
      <c r="T30">
        <f>HYPERLINK("https://klasma.github.io/Logging_0687/kartor/A 29382-2022 karta.png", "A 29382-2022")</f>
        <v/>
      </c>
      <c r="V30">
        <f>HYPERLINK("https://klasma.github.io/Logging_0687/klagomål/A 29382-2022 FSC-klagomål.docx", "A 29382-2022")</f>
        <v/>
      </c>
      <c r="W30">
        <f>HYPERLINK("https://klasma.github.io/Logging_0687/klagomålsmail/A 29382-2022 FSC-klagomål mail.docx", "A 29382-2022")</f>
        <v/>
      </c>
      <c r="X30">
        <f>HYPERLINK("https://klasma.github.io/Logging_0687/tillsyn/A 29382-2022 tillsynsbegäran.docx", "A 29382-2022")</f>
        <v/>
      </c>
      <c r="Y30">
        <f>HYPERLINK("https://klasma.github.io/Logging_0687/tillsynsmail/A 29382-2022 tillsynsbegäran mail.docx", "A 29382-2022")</f>
        <v/>
      </c>
    </row>
    <row r="31" ht="15" customHeight="1">
      <c r="A31" t="inlineStr">
        <is>
          <t>A 28575-2026</t>
        </is>
      </c>
      <c r="B31" s="1" t="n">
        <v>46197</v>
      </c>
      <c r="C31" s="1" t="n">
        <v>46199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HYPERLINK("https://klasma.github.io/Logging_0687/artfynd/A 28575-2026 artfynd.xlsx", "A 28575-2026")</f>
        <v/>
      </c>
      <c r="T31">
        <f>HYPERLINK("https://klasma.github.io/Logging_0687/kartor/A 28575-2026 karta.png", "A 28575-2026")</f>
        <v/>
      </c>
      <c r="V31">
        <f>HYPERLINK("https://klasma.github.io/Logging_0687/klagomål/A 28575-2026 FSC-klagomål.docx", "A 28575-2026")</f>
        <v/>
      </c>
      <c r="W31">
        <f>HYPERLINK("https://klasma.github.io/Logging_0687/klagomålsmail/A 28575-2026 FSC-klagomål mail.docx", "A 28575-2026")</f>
        <v/>
      </c>
      <c r="X31">
        <f>HYPERLINK("https://klasma.github.io/Logging_0687/tillsyn/A 28575-2026 tillsynsbegäran.docx", "A 28575-2026")</f>
        <v/>
      </c>
      <c r="Y31">
        <f>HYPERLINK("https://klasma.github.io/Logging_0687/tillsynsmail/A 28575-2026 tillsynsbegäran mail.docx", "A 28575-2026")</f>
        <v/>
      </c>
    </row>
    <row r="32" ht="15" customHeight="1">
      <c r="A32" t="inlineStr">
        <is>
          <t>A 9977-2022</t>
        </is>
      </c>
      <c r="B32" s="1" t="n">
        <v>44621</v>
      </c>
      <c r="C32" s="1" t="n">
        <v>46199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HYPERLINK("https://klasma.github.io/Logging_0687/artfynd/A 9977-2022 artfynd.xlsx", "A 9977-2022")</f>
        <v/>
      </c>
      <c r="T32">
        <f>HYPERLINK("https://klasma.github.io/Logging_0687/kartor/A 9977-2022 karta.png", "A 9977-2022")</f>
        <v/>
      </c>
      <c r="V32">
        <f>HYPERLINK("https://klasma.github.io/Logging_0687/klagomål/A 9977-2022 FSC-klagomål.docx", "A 9977-2022")</f>
        <v/>
      </c>
      <c r="W32">
        <f>HYPERLINK("https://klasma.github.io/Logging_0687/klagomålsmail/A 9977-2022 FSC-klagomål mail.docx", "A 9977-2022")</f>
        <v/>
      </c>
      <c r="X32">
        <f>HYPERLINK("https://klasma.github.io/Logging_0687/tillsyn/A 9977-2022 tillsynsbegäran.docx", "A 9977-2022")</f>
        <v/>
      </c>
      <c r="Y32">
        <f>HYPERLINK("https://klasma.github.io/Logging_0687/tillsynsmail/A 9977-2022 tillsynsbegäran mail.docx", "A 9977-2022")</f>
        <v/>
      </c>
    </row>
    <row r="33" ht="15" customHeight="1">
      <c r="A33" t="inlineStr">
        <is>
          <t>A 60263-2023</t>
        </is>
      </c>
      <c r="B33" s="1" t="n">
        <v>45258</v>
      </c>
      <c r="C33" s="1" t="n">
        <v>46199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HYPERLINK("https://klasma.github.io/Logging_0687/artfynd/A 60263-2023 artfynd.xlsx", "A 60263-2023")</f>
        <v/>
      </c>
      <c r="T33">
        <f>HYPERLINK("https://klasma.github.io/Logging_0687/kartor/A 60263-2023 karta.png", "A 60263-2023")</f>
        <v/>
      </c>
      <c r="V33">
        <f>HYPERLINK("https://klasma.github.io/Logging_0687/klagomål/A 60263-2023 FSC-klagomål.docx", "A 60263-2023")</f>
        <v/>
      </c>
      <c r="W33">
        <f>HYPERLINK("https://klasma.github.io/Logging_0687/klagomålsmail/A 60263-2023 FSC-klagomål mail.docx", "A 60263-2023")</f>
        <v/>
      </c>
      <c r="X33">
        <f>HYPERLINK("https://klasma.github.io/Logging_0687/tillsyn/A 60263-2023 tillsynsbegäran.docx", "A 60263-2023")</f>
        <v/>
      </c>
      <c r="Y33">
        <f>HYPERLINK("https://klasma.github.io/Logging_0687/tillsynsmail/A 60263-2023 tillsynsbegäran mail.docx", "A 60263-2023")</f>
        <v/>
      </c>
    </row>
    <row r="34" ht="15" customHeight="1">
      <c r="A34" t="inlineStr">
        <is>
          <t>A 23033-2022</t>
        </is>
      </c>
      <c r="B34" s="1" t="n">
        <v>44719</v>
      </c>
      <c r="C34" s="1" t="n">
        <v>46199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Kantjordstjärna</t>
        </is>
      </c>
      <c r="S34">
        <f>HYPERLINK("https://klasma.github.io/Logging_0687/artfynd/A 23033-2022 artfynd.xlsx", "A 23033-2022")</f>
        <v/>
      </c>
      <c r="T34">
        <f>HYPERLINK("https://klasma.github.io/Logging_0687/kartor/A 23033-2022 karta.png", "A 23033-2022")</f>
        <v/>
      </c>
      <c r="V34">
        <f>HYPERLINK("https://klasma.github.io/Logging_0687/klagomål/A 23033-2022 FSC-klagomål.docx", "A 23033-2022")</f>
        <v/>
      </c>
      <c r="W34">
        <f>HYPERLINK("https://klasma.github.io/Logging_0687/klagomålsmail/A 23033-2022 FSC-klagomål mail.docx", "A 23033-2022")</f>
        <v/>
      </c>
      <c r="X34">
        <f>HYPERLINK("https://klasma.github.io/Logging_0687/tillsyn/A 23033-2022 tillsynsbegäran.docx", "A 23033-2022")</f>
        <v/>
      </c>
      <c r="Y34">
        <f>HYPERLINK("https://klasma.github.io/Logging_0687/tillsynsmail/A 23033-2022 tillsynsbegäran mail.docx", "A 23033-2022")</f>
        <v/>
      </c>
    </row>
    <row r="35" ht="15" customHeight="1">
      <c r="A35" t="inlineStr">
        <is>
          <t>A 10468-2022</t>
        </is>
      </c>
      <c r="B35" s="1" t="n">
        <v>44623</v>
      </c>
      <c r="C35" s="1" t="n">
        <v>46199</v>
      </c>
      <c r="D35" t="inlineStr">
        <is>
          <t>JÖNKÖPINGS LÄN</t>
        </is>
      </c>
      <c r="E35" t="inlineStr">
        <is>
          <t>TRANÅS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19131-2022</t>
        </is>
      </c>
      <c r="B36" s="1" t="n">
        <v>44691</v>
      </c>
      <c r="C36" s="1" t="n">
        <v>46199</v>
      </c>
      <c r="D36" t="inlineStr">
        <is>
          <t>JÖNKÖPINGS LÄN</t>
        </is>
      </c>
      <c r="E36" t="inlineStr">
        <is>
          <t>TRANÅS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5955-2022</t>
        </is>
      </c>
      <c r="B37" s="1" t="n">
        <v>44599</v>
      </c>
      <c r="C37" s="1" t="n">
        <v>46199</v>
      </c>
      <c r="D37" t="inlineStr">
        <is>
          <t>JÖNKÖPINGS LÄN</t>
        </is>
      </c>
      <c r="E37" t="inlineStr">
        <is>
          <t>TRANÅS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8631-2022</t>
        </is>
      </c>
      <c r="B38" s="1" t="n">
        <v>44613</v>
      </c>
      <c r="C38" s="1" t="n">
        <v>46199</v>
      </c>
      <c r="D38" t="inlineStr">
        <is>
          <t>JÖNKÖPINGS LÄN</t>
        </is>
      </c>
      <c r="E38" t="inlineStr">
        <is>
          <t>TRANÅS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53329-2022</t>
        </is>
      </c>
      <c r="B39" s="1" t="n">
        <v>44879</v>
      </c>
      <c r="C39" s="1" t="n">
        <v>46199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66402-2021</t>
        </is>
      </c>
      <c r="B40" s="1" t="n">
        <v>44518</v>
      </c>
      <c r="C40" s="1" t="n">
        <v>46199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61179-2021</t>
        </is>
      </c>
      <c r="B41" s="1" t="n">
        <v>44498</v>
      </c>
      <c r="C41" s="1" t="n">
        <v>46199</v>
      </c>
      <c r="D41" t="inlineStr">
        <is>
          <t>JÖNKÖPINGS LÄN</t>
        </is>
      </c>
      <c r="E41" t="inlineStr">
        <is>
          <t>TRANÅS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11550-2022</t>
        </is>
      </c>
      <c r="B42" s="1" t="n">
        <v>44631</v>
      </c>
      <c r="C42" s="1" t="n">
        <v>46199</v>
      </c>
      <c r="D42" t="inlineStr">
        <is>
          <t>JÖNKÖPINGS LÄN</t>
        </is>
      </c>
      <c r="E42" t="inlineStr">
        <is>
          <t>TRANÅS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46199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46199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46199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46199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46199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46199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46199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46199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46199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46199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46199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46199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</v>
      </c>
      <c r="C55" s="1" t="n">
        <v>46199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17549-2022</t>
        </is>
      </c>
      <c r="B56" s="1" t="n">
        <v>44679</v>
      </c>
      <c r="C56" s="1" t="n">
        <v>46199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3985-2022</t>
        </is>
      </c>
      <c r="B57" s="1" t="n">
        <v>44587</v>
      </c>
      <c r="C57" s="1" t="n">
        <v>46199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45745-2021</t>
        </is>
      </c>
      <c r="B58" s="1" t="n">
        <v>44441</v>
      </c>
      <c r="C58" s="1" t="n">
        <v>46199</v>
      </c>
      <c r="D58" t="inlineStr">
        <is>
          <t>JÖNKÖPINGS LÄN</t>
        </is>
      </c>
      <c r="E58" t="inlineStr">
        <is>
          <t>TRANÅS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35694-2021</t>
        </is>
      </c>
      <c r="B59" s="1" t="n">
        <v>44386</v>
      </c>
      <c r="C59" s="1" t="n">
        <v>46199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55679-2022</t>
        </is>
      </c>
      <c r="B60" s="1" t="n">
        <v>44888</v>
      </c>
      <c r="C60" s="1" t="n">
        <v>46199</v>
      </c>
      <c r="D60" t="inlineStr">
        <is>
          <t>JÖNKÖPINGS LÄN</t>
        </is>
      </c>
      <c r="E60" t="inlineStr">
        <is>
          <t>TRANÅS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46199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46199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67418-2021</t>
        </is>
      </c>
      <c r="B63" s="1" t="n">
        <v>44524</v>
      </c>
      <c r="C63" s="1" t="n">
        <v>46199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53489-2023</t>
        </is>
      </c>
      <c r="B64" s="1" t="n">
        <v>45230</v>
      </c>
      <c r="C64" s="1" t="n">
        <v>46199</v>
      </c>
      <c r="D64" t="inlineStr">
        <is>
          <t>JÖNKÖPINGS LÄN</t>
        </is>
      </c>
      <c r="E64" t="inlineStr">
        <is>
          <t>TRANÅS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12070-2024</t>
        </is>
      </c>
      <c r="B65" s="1" t="n">
        <v>45377</v>
      </c>
      <c r="C65" s="1" t="n">
        <v>46199</v>
      </c>
      <c r="D65" t="inlineStr">
        <is>
          <t>JÖNKÖPINGS LÄN</t>
        </is>
      </c>
      <c r="E65" t="inlineStr">
        <is>
          <t>TRANÅS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36215-2022</t>
        </is>
      </c>
      <c r="B66" s="1" t="n">
        <v>44803</v>
      </c>
      <c r="C66" s="1" t="n">
        <v>46199</v>
      </c>
      <c r="D66" t="inlineStr">
        <is>
          <t>JÖNKÖPINGS LÄN</t>
        </is>
      </c>
      <c r="E66" t="inlineStr">
        <is>
          <t>TRANÅS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59017-2021</t>
        </is>
      </c>
      <c r="B67" s="1" t="n">
        <v>44489</v>
      </c>
      <c r="C67" s="1" t="n">
        <v>46199</v>
      </c>
      <c r="D67" t="inlineStr">
        <is>
          <t>JÖNKÖPINGS LÄN</t>
        </is>
      </c>
      <c r="E67" t="inlineStr">
        <is>
          <t>TRANÅS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4563-2024</t>
        </is>
      </c>
      <c r="B68" s="1" t="n">
        <v>45327</v>
      </c>
      <c r="C68" s="1" t="n">
        <v>46199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54791-2023</t>
        </is>
      </c>
      <c r="B69" s="1" t="n">
        <v>45229</v>
      </c>
      <c r="C69" s="1" t="n">
        <v>46199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17149-2024</t>
        </is>
      </c>
      <c r="B70" s="1" t="n">
        <v>45412</v>
      </c>
      <c r="C70" s="1" t="n">
        <v>46199</v>
      </c>
      <c r="D70" t="inlineStr">
        <is>
          <t>JÖNKÖPINGS LÄN</t>
        </is>
      </c>
      <c r="E70" t="inlineStr">
        <is>
          <t>TRANÅS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54703-2022</t>
        </is>
      </c>
      <c r="B71" s="1" t="n">
        <v>44881</v>
      </c>
      <c r="C71" s="1" t="n">
        <v>46199</v>
      </c>
      <c r="D71" t="inlineStr">
        <is>
          <t>JÖNKÖPINGS LÄN</t>
        </is>
      </c>
      <c r="E71" t="inlineStr">
        <is>
          <t>TRANÅS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57038-2021</t>
        </is>
      </c>
      <c r="B72" s="1" t="n">
        <v>44482</v>
      </c>
      <c r="C72" s="1" t="n">
        <v>46199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46199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24967-2023</t>
        </is>
      </c>
      <c r="B74" s="1" t="n">
        <v>45085</v>
      </c>
      <c r="C74" s="1" t="n">
        <v>46199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40212-2022</t>
        </is>
      </c>
      <c r="B75" s="1" t="n">
        <v>44820</v>
      </c>
      <c r="C75" s="1" t="n">
        <v>46199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18173-2023</t>
        </is>
      </c>
      <c r="B76" s="1" t="n">
        <v>45040</v>
      </c>
      <c r="C76" s="1" t="n">
        <v>46199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30647-2024</t>
        </is>
      </c>
      <c r="B77" s="1" t="n">
        <v>45495</v>
      </c>
      <c r="C77" s="1" t="n">
        <v>46199</v>
      </c>
      <c r="D77" t="inlineStr">
        <is>
          <t>JÖNKÖPINGS LÄN</t>
        </is>
      </c>
      <c r="E77" t="inlineStr">
        <is>
          <t>TRANÅS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22430-2025</t>
        </is>
      </c>
      <c r="B78" s="1" t="n">
        <v>45786</v>
      </c>
      <c r="C78" s="1" t="n">
        <v>46199</v>
      </c>
      <c r="D78" t="inlineStr">
        <is>
          <t>JÖNKÖPINGS LÄN</t>
        </is>
      </c>
      <c r="E78" t="inlineStr">
        <is>
          <t>TRANÅS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22620-2025</t>
        </is>
      </c>
      <c r="B79" s="1" t="n">
        <v>45789</v>
      </c>
      <c r="C79" s="1" t="n">
        <v>46199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37081-2021</t>
        </is>
      </c>
      <c r="B80" s="1" t="n">
        <v>44395</v>
      </c>
      <c r="C80" s="1" t="n">
        <v>46199</v>
      </c>
      <c r="D80" t="inlineStr">
        <is>
          <t>JÖNKÖPINGS LÄN</t>
        </is>
      </c>
      <c r="E80" t="inlineStr">
        <is>
          <t>TRANÅS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37146-2021</t>
        </is>
      </c>
      <c r="B81" s="1" t="n">
        <v>44396</v>
      </c>
      <c r="C81" s="1" t="n">
        <v>46199</v>
      </c>
      <c r="D81" t="inlineStr">
        <is>
          <t>JÖNKÖPINGS LÄN</t>
        </is>
      </c>
      <c r="E81" t="inlineStr">
        <is>
          <t>TRANÅS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20990-2024</t>
        </is>
      </c>
      <c r="B82" s="1" t="n">
        <v>45439</v>
      </c>
      <c r="C82" s="1" t="n">
        <v>46199</v>
      </c>
      <c r="D82" t="inlineStr">
        <is>
          <t>JÖNKÖPINGS LÄN</t>
        </is>
      </c>
      <c r="E82" t="inlineStr">
        <is>
          <t>TRANÅS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62578-2023</t>
        </is>
      </c>
      <c r="B83" s="1" t="n">
        <v>45270</v>
      </c>
      <c r="C83" s="1" t="n">
        <v>46199</v>
      </c>
      <c r="D83" t="inlineStr">
        <is>
          <t>JÖNKÖPINGS LÄN</t>
        </is>
      </c>
      <c r="E83" t="inlineStr">
        <is>
          <t>TRANÅS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33213-2023</t>
        </is>
      </c>
      <c r="B84" s="1" t="n">
        <v>45114</v>
      </c>
      <c r="C84" s="1" t="n">
        <v>46199</v>
      </c>
      <c r="D84" t="inlineStr">
        <is>
          <t>JÖNKÖPINGS LÄN</t>
        </is>
      </c>
      <c r="E84" t="inlineStr">
        <is>
          <t>TRANÅS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39648-2024</t>
        </is>
      </c>
      <c r="B85" s="1" t="n">
        <v>45552</v>
      </c>
      <c r="C85" s="1" t="n">
        <v>46199</v>
      </c>
      <c r="D85" t="inlineStr">
        <is>
          <t>JÖNKÖPINGS LÄN</t>
        </is>
      </c>
      <c r="E85" t="inlineStr">
        <is>
          <t>TRANÅS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18073-2024</t>
        </is>
      </c>
      <c r="B86" s="1" t="n">
        <v>45420</v>
      </c>
      <c r="C86" s="1" t="n">
        <v>46199</v>
      </c>
      <c r="D86" t="inlineStr">
        <is>
          <t>JÖNKÖPINGS LÄN</t>
        </is>
      </c>
      <c r="E86" t="inlineStr">
        <is>
          <t>TRANÅS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57648-2025</t>
        </is>
      </c>
      <c r="B87" s="1" t="n">
        <v>45981</v>
      </c>
      <c r="C87" s="1" t="n">
        <v>46199</v>
      </c>
      <c r="D87" t="inlineStr">
        <is>
          <t>JÖNKÖPINGS LÄN</t>
        </is>
      </c>
      <c r="E87" t="inlineStr">
        <is>
          <t>TRANÅS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17077-2025</t>
        </is>
      </c>
      <c r="B88" s="1" t="n">
        <v>45754</v>
      </c>
      <c r="C88" s="1" t="n">
        <v>46199</v>
      </c>
      <c r="D88" t="inlineStr">
        <is>
          <t>JÖNKÖPINGS LÄN</t>
        </is>
      </c>
      <c r="E88" t="inlineStr">
        <is>
          <t>TRANÅS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30152-2023</t>
        </is>
      </c>
      <c r="B89" s="1" t="n">
        <v>45110</v>
      </c>
      <c r="C89" s="1" t="n">
        <v>46199</v>
      </c>
      <c r="D89" t="inlineStr">
        <is>
          <t>JÖNKÖPINGS LÄN</t>
        </is>
      </c>
      <c r="E89" t="inlineStr">
        <is>
          <t>TRANÅS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22671-2025</t>
        </is>
      </c>
      <c r="B90" s="1" t="n">
        <v>45789</v>
      </c>
      <c r="C90" s="1" t="n">
        <v>46199</v>
      </c>
      <c r="D90" t="inlineStr">
        <is>
          <t>JÖNKÖPINGS LÄN</t>
        </is>
      </c>
      <c r="E90" t="inlineStr">
        <is>
          <t>TRANÅS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39047-2025</t>
        </is>
      </c>
      <c r="B91" s="1" t="n">
        <v>45888</v>
      </c>
      <c r="C91" s="1" t="n">
        <v>46199</v>
      </c>
      <c r="D91" t="inlineStr">
        <is>
          <t>JÖNKÖPINGS LÄN</t>
        </is>
      </c>
      <c r="E91" t="inlineStr">
        <is>
          <t>TRANÅS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37912-2024</t>
        </is>
      </c>
      <c r="B92" s="1" t="n">
        <v>45544</v>
      </c>
      <c r="C92" s="1" t="n">
        <v>46199</v>
      </c>
      <c r="D92" t="inlineStr">
        <is>
          <t>JÖNKÖPINGS LÄN</t>
        </is>
      </c>
      <c r="E92" t="inlineStr">
        <is>
          <t>TRANÅS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39043-2025</t>
        </is>
      </c>
      <c r="B93" s="1" t="n">
        <v>45888</v>
      </c>
      <c r="C93" s="1" t="n">
        <v>46199</v>
      </c>
      <c r="D93" t="inlineStr">
        <is>
          <t>JÖNKÖPINGS LÄN</t>
        </is>
      </c>
      <c r="E93" t="inlineStr">
        <is>
          <t>TRANÅS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13581-2025</t>
        </is>
      </c>
      <c r="B94" s="1" t="n">
        <v>45736</v>
      </c>
      <c r="C94" s="1" t="n">
        <v>46199</v>
      </c>
      <c r="D94" t="inlineStr">
        <is>
          <t>JÖNKÖPINGS LÄN</t>
        </is>
      </c>
      <c r="E94" t="inlineStr">
        <is>
          <t>TRANÅS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54750-2022</t>
        </is>
      </c>
      <c r="B95" s="1" t="n">
        <v>44881</v>
      </c>
      <c r="C95" s="1" t="n">
        <v>46199</v>
      </c>
      <c r="D95" t="inlineStr">
        <is>
          <t>JÖNKÖPINGS LÄN</t>
        </is>
      </c>
      <c r="E95" t="inlineStr">
        <is>
          <t>TRANÅS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39593-2025</t>
        </is>
      </c>
      <c r="B96" s="1" t="n">
        <v>45890</v>
      </c>
      <c r="C96" s="1" t="n">
        <v>46199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60359-2023</t>
        </is>
      </c>
      <c r="B97" s="1" t="n">
        <v>45259</v>
      </c>
      <c r="C97" s="1" t="n">
        <v>46199</v>
      </c>
      <c r="D97" t="inlineStr">
        <is>
          <t>JÖNKÖPINGS LÄN</t>
        </is>
      </c>
      <c r="E97" t="inlineStr">
        <is>
          <t>TRANÅS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4702-2023</t>
        </is>
      </c>
      <c r="B98" s="1" t="n">
        <v>44953</v>
      </c>
      <c r="C98" s="1" t="n">
        <v>46199</v>
      </c>
      <c r="D98" t="inlineStr">
        <is>
          <t>JÖNKÖPINGS LÄN</t>
        </is>
      </c>
      <c r="E98" t="inlineStr">
        <is>
          <t>TRANÅS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</v>
      </c>
      <c r="C99" s="1" t="n">
        <v>46199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46199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</v>
      </c>
      <c r="C101" s="1" t="n">
        <v>46199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46199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5213-2024</t>
        </is>
      </c>
      <c r="B103" s="1" t="n">
        <v>45330</v>
      </c>
      <c r="C103" s="1" t="n">
        <v>46199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20414-2025</t>
        </is>
      </c>
      <c r="B104" s="1" t="n">
        <v>45775</v>
      </c>
      <c r="C104" s="1" t="n">
        <v>46199</v>
      </c>
      <c r="D104" t="inlineStr">
        <is>
          <t>JÖNKÖPINGS LÄN</t>
        </is>
      </c>
      <c r="E104" t="inlineStr">
        <is>
          <t>TRANÅS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42885-2025</t>
        </is>
      </c>
      <c r="B105" s="1" t="n">
        <v>45908</v>
      </c>
      <c r="C105" s="1" t="n">
        <v>46199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35691-2021</t>
        </is>
      </c>
      <c r="B106" s="1" t="n">
        <v>44386</v>
      </c>
      <c r="C106" s="1" t="n">
        <v>46199</v>
      </c>
      <c r="D106" t="inlineStr">
        <is>
          <t>JÖNKÖPINGS LÄN</t>
        </is>
      </c>
      <c r="E106" t="inlineStr">
        <is>
          <t>TRANÅS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35696-2021</t>
        </is>
      </c>
      <c r="B107" s="1" t="n">
        <v>44386</v>
      </c>
      <c r="C107" s="1" t="n">
        <v>46199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37221-2024</t>
        </is>
      </c>
      <c r="B108" s="1" t="n">
        <v>45539</v>
      </c>
      <c r="C108" s="1" t="n">
        <v>46199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26855-2025</t>
        </is>
      </c>
      <c r="B109" s="1" t="n">
        <v>45810</v>
      </c>
      <c r="C109" s="1" t="n">
        <v>46199</v>
      </c>
      <c r="D109" t="inlineStr">
        <is>
          <t>JÖNKÖPINGS LÄN</t>
        </is>
      </c>
      <c r="E109" t="inlineStr">
        <is>
          <t>TRANÅS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22404-2023</t>
        </is>
      </c>
      <c r="B110" s="1" t="n">
        <v>45070</v>
      </c>
      <c r="C110" s="1" t="n">
        <v>46199</v>
      </c>
      <c r="D110" t="inlineStr">
        <is>
          <t>JÖNKÖPINGS LÄN</t>
        </is>
      </c>
      <c r="E110" t="inlineStr">
        <is>
          <t>TRANÅS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44235-2025</t>
        </is>
      </c>
      <c r="B111" s="1" t="n">
        <v>45915</v>
      </c>
      <c r="C111" s="1" t="n">
        <v>46199</v>
      </c>
      <c r="D111" t="inlineStr">
        <is>
          <t>JÖNKÖPINGS LÄN</t>
        </is>
      </c>
      <c r="E111" t="inlineStr">
        <is>
          <t>TRANÅS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T111">
        <f>HYPERLINK("https://klasma.github.io/Logging_0687/kartor/A 44235-2025 karta.png", "A 44235-2025")</f>
        <v/>
      </c>
      <c r="V111">
        <f>HYPERLINK("https://klasma.github.io/Logging_0687/klagomål/A 44235-2025 FSC-klagomål.docx", "A 44235-2025")</f>
        <v/>
      </c>
      <c r="W111">
        <f>HYPERLINK("https://klasma.github.io/Logging_0687/klagomålsmail/A 44235-2025 FSC-klagomål mail.docx", "A 44235-2025")</f>
        <v/>
      </c>
      <c r="X111">
        <f>HYPERLINK("https://klasma.github.io/Logging_0687/tillsyn/A 44235-2025 tillsynsbegäran.docx", "A 44235-2025")</f>
        <v/>
      </c>
      <c r="Y111">
        <f>HYPERLINK("https://klasma.github.io/Logging_0687/tillsynsmail/A 44235-2025 tillsynsbegäran mail.docx", "A 44235-2025")</f>
        <v/>
      </c>
    </row>
    <row r="112" ht="15" customHeight="1">
      <c r="A112" t="inlineStr">
        <is>
          <t>A 44698-2025</t>
        </is>
      </c>
      <c r="B112" s="1" t="n">
        <v>45917</v>
      </c>
      <c r="C112" s="1" t="n">
        <v>46199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45196-2025</t>
        </is>
      </c>
      <c r="B113" s="1" t="n">
        <v>45919</v>
      </c>
      <c r="C113" s="1" t="n">
        <v>46199</v>
      </c>
      <c r="D113" t="inlineStr">
        <is>
          <t>JÖNKÖPINGS LÄN</t>
        </is>
      </c>
      <c r="E113" t="inlineStr">
        <is>
          <t>TRANÅS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59272-2025</t>
        </is>
      </c>
      <c r="B114" s="1" t="n">
        <v>45988</v>
      </c>
      <c r="C114" s="1" t="n">
        <v>46199</v>
      </c>
      <c r="D114" t="inlineStr">
        <is>
          <t>JÖNKÖPINGS LÄN</t>
        </is>
      </c>
      <c r="E114" t="inlineStr">
        <is>
          <t>TRANÅS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46075-2025</t>
        </is>
      </c>
      <c r="B115" s="1" t="n">
        <v>45924</v>
      </c>
      <c r="C115" s="1" t="n">
        <v>46199</v>
      </c>
      <c r="D115" t="inlineStr">
        <is>
          <t>JÖNKÖPINGS LÄN</t>
        </is>
      </c>
      <c r="E115" t="inlineStr">
        <is>
          <t>TRANÅS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644-2023</t>
        </is>
      </c>
      <c r="B116" s="1" t="n">
        <v>44930</v>
      </c>
      <c r="C116" s="1" t="n">
        <v>46199</v>
      </c>
      <c r="D116" t="inlineStr">
        <is>
          <t>JÖNKÖPINGS LÄN</t>
        </is>
      </c>
      <c r="E116" t="inlineStr">
        <is>
          <t>TRANÅS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46337-2025</t>
        </is>
      </c>
      <c r="B117" s="1" t="n">
        <v>45925</v>
      </c>
      <c r="C117" s="1" t="n">
        <v>46199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46333-2025</t>
        </is>
      </c>
      <c r="B118" s="1" t="n">
        <v>45925</v>
      </c>
      <c r="C118" s="1" t="n">
        <v>46199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46330-2025</t>
        </is>
      </c>
      <c r="B119" s="1" t="n">
        <v>45925</v>
      </c>
      <c r="C119" s="1" t="n">
        <v>46199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47477-2025</t>
        </is>
      </c>
      <c r="B120" s="1" t="n">
        <v>45930</v>
      </c>
      <c r="C120" s="1" t="n">
        <v>46199</v>
      </c>
      <c r="D120" t="inlineStr">
        <is>
          <t>JÖNKÖPINGS LÄN</t>
        </is>
      </c>
      <c r="E120" t="inlineStr">
        <is>
          <t>TRANÅS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5066-2025</t>
        </is>
      </c>
      <c r="B121" s="1" t="n">
        <v>45691</v>
      </c>
      <c r="C121" s="1" t="n">
        <v>46199</v>
      </c>
      <c r="D121" t="inlineStr">
        <is>
          <t>JÖNKÖPINGS LÄN</t>
        </is>
      </c>
      <c r="E121" t="inlineStr">
        <is>
          <t>TRANÅS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18084-2024</t>
        </is>
      </c>
      <c r="B122" s="1" t="n">
        <v>45420</v>
      </c>
      <c r="C122" s="1" t="n">
        <v>46199</v>
      </c>
      <c r="D122" t="inlineStr">
        <is>
          <t>JÖNKÖPINGS LÄN</t>
        </is>
      </c>
      <c r="E122" t="inlineStr">
        <is>
          <t>TRANÅS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47753-2025</t>
        </is>
      </c>
      <c r="B123" s="1" t="n">
        <v>45931</v>
      </c>
      <c r="C123" s="1" t="n">
        <v>46199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48112-2025</t>
        </is>
      </c>
      <c r="B124" s="1" t="n">
        <v>45932</v>
      </c>
      <c r="C124" s="1" t="n">
        <v>46199</v>
      </c>
      <c r="D124" t="inlineStr">
        <is>
          <t>JÖNKÖPINGS LÄN</t>
        </is>
      </c>
      <c r="E124" t="inlineStr">
        <is>
          <t>TRANÅS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62867-2025</t>
        </is>
      </c>
      <c r="B125" s="1" t="n">
        <v>46008</v>
      </c>
      <c r="C125" s="1" t="n">
        <v>46199</v>
      </c>
      <c r="D125" t="inlineStr">
        <is>
          <t>JÖNKÖPINGS LÄN</t>
        </is>
      </c>
      <c r="E125" t="inlineStr">
        <is>
          <t>TRANÅS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55973-2025</t>
        </is>
      </c>
      <c r="B126" s="1" t="n">
        <v>45973</v>
      </c>
      <c r="C126" s="1" t="n">
        <v>46199</v>
      </c>
      <c r="D126" t="inlineStr">
        <is>
          <t>JÖNKÖPINGS LÄN</t>
        </is>
      </c>
      <c r="E126" t="inlineStr">
        <is>
          <t>TRANÅS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33201-2025</t>
        </is>
      </c>
      <c r="B127" s="1" t="n">
        <v>45840</v>
      </c>
      <c r="C127" s="1" t="n">
        <v>46199</v>
      </c>
      <c r="D127" t="inlineStr">
        <is>
          <t>JÖNKÖPINGS LÄN</t>
        </is>
      </c>
      <c r="E127" t="inlineStr">
        <is>
          <t>TRANÅS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49118-2025</t>
        </is>
      </c>
      <c r="B128" s="1" t="n">
        <v>45937</v>
      </c>
      <c r="C128" s="1" t="n">
        <v>46199</v>
      </c>
      <c r="D128" t="inlineStr">
        <is>
          <t>JÖNKÖPINGS LÄN</t>
        </is>
      </c>
      <c r="E128" t="inlineStr">
        <is>
          <t>TRANÅS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49844-2025</t>
        </is>
      </c>
      <c r="B129" s="1" t="n">
        <v>45940</v>
      </c>
      <c r="C129" s="1" t="n">
        <v>46199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49610-2025</t>
        </is>
      </c>
      <c r="B130" s="1" t="n">
        <v>45939</v>
      </c>
      <c r="C130" s="1" t="n">
        <v>46199</v>
      </c>
      <c r="D130" t="inlineStr">
        <is>
          <t>JÖNKÖPINGS LÄN</t>
        </is>
      </c>
      <c r="E130" t="inlineStr">
        <is>
          <t>TRANÅS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19323-2025</t>
        </is>
      </c>
      <c r="B131" s="1" t="n">
        <v>45769</v>
      </c>
      <c r="C131" s="1" t="n">
        <v>46199</v>
      </c>
      <c r="D131" t="inlineStr">
        <is>
          <t>JÖNKÖPINGS LÄN</t>
        </is>
      </c>
      <c r="E131" t="inlineStr">
        <is>
          <t>TRANÅS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50749-2025</t>
        </is>
      </c>
      <c r="B132" s="1" t="n">
        <v>45946</v>
      </c>
      <c r="C132" s="1" t="n">
        <v>46199</v>
      </c>
      <c r="D132" t="inlineStr">
        <is>
          <t>JÖNKÖPINGS LÄN</t>
        </is>
      </c>
      <c r="E132" t="inlineStr">
        <is>
          <t>TRANÅS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50621-2025</t>
        </is>
      </c>
      <c r="B133" s="1" t="n">
        <v>45945</v>
      </c>
      <c r="C133" s="1" t="n">
        <v>46199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50686-2025</t>
        </is>
      </c>
      <c r="B134" s="1" t="n">
        <v>45945</v>
      </c>
      <c r="C134" s="1" t="n">
        <v>46199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50596-2025</t>
        </is>
      </c>
      <c r="B135" s="1" t="n">
        <v>45945</v>
      </c>
      <c r="C135" s="1" t="n">
        <v>46199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37160-2023</t>
        </is>
      </c>
      <c r="B136" s="1" t="n">
        <v>45154</v>
      </c>
      <c r="C136" s="1" t="n">
        <v>46199</v>
      </c>
      <c r="D136" t="inlineStr">
        <is>
          <t>JÖNKÖPINGS LÄN</t>
        </is>
      </c>
      <c r="E136" t="inlineStr">
        <is>
          <t>TRANÅS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22726-2022</t>
        </is>
      </c>
      <c r="B137" s="1" t="n">
        <v>44714</v>
      </c>
      <c r="C137" s="1" t="n">
        <v>46199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20558-2023</t>
        </is>
      </c>
      <c r="B138" s="1" t="n">
        <v>45057</v>
      </c>
      <c r="C138" s="1" t="n">
        <v>46199</v>
      </c>
      <c r="D138" t="inlineStr">
        <is>
          <t>JÖNKÖPINGS LÄN</t>
        </is>
      </c>
      <c r="E138" t="inlineStr">
        <is>
          <t>TRANÅS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57957-2025</t>
        </is>
      </c>
      <c r="B139" s="1" t="n">
        <v>45982</v>
      </c>
      <c r="C139" s="1" t="n">
        <v>46199</v>
      </c>
      <c r="D139" t="inlineStr">
        <is>
          <t>JÖNKÖPINGS LÄN</t>
        </is>
      </c>
      <c r="E139" t="inlineStr">
        <is>
          <t>TRANÅS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52188-2025</t>
        </is>
      </c>
      <c r="B140" s="1" t="n">
        <v>45953</v>
      </c>
      <c r="C140" s="1" t="n">
        <v>46199</v>
      </c>
      <c r="D140" t="inlineStr">
        <is>
          <t>JÖNKÖPINGS LÄN</t>
        </is>
      </c>
      <c r="E140" t="inlineStr">
        <is>
          <t>TRANÅS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33006-2025</t>
        </is>
      </c>
      <c r="B141" s="1" t="n">
        <v>45840</v>
      </c>
      <c r="C141" s="1" t="n">
        <v>46199</v>
      </c>
      <c r="D141" t="inlineStr">
        <is>
          <t>JÖNKÖPINGS LÄN</t>
        </is>
      </c>
      <c r="E141" t="inlineStr">
        <is>
          <t>TRANÅS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52497-2025</t>
        </is>
      </c>
      <c r="B142" s="1" t="n">
        <v>45954</v>
      </c>
      <c r="C142" s="1" t="n">
        <v>46199</v>
      </c>
      <c r="D142" t="inlineStr">
        <is>
          <t>JÖNKÖPINGS LÄN</t>
        </is>
      </c>
      <c r="E142" t="inlineStr">
        <is>
          <t>TRANÅS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52515-2025</t>
        </is>
      </c>
      <c r="B143" s="1" t="n">
        <v>45954</v>
      </c>
      <c r="C143" s="1" t="n">
        <v>46199</v>
      </c>
      <c r="D143" t="inlineStr">
        <is>
          <t>JÖNKÖPINGS LÄN</t>
        </is>
      </c>
      <c r="E143" t="inlineStr">
        <is>
          <t>TRANÅS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59640-2025</t>
        </is>
      </c>
      <c r="B144" s="1" t="n">
        <v>45992</v>
      </c>
      <c r="C144" s="1" t="n">
        <v>46199</v>
      </c>
      <c r="D144" t="inlineStr">
        <is>
          <t>JÖNKÖPINGS LÄN</t>
        </is>
      </c>
      <c r="E144" t="inlineStr">
        <is>
          <t>TRANÅS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36998-2024</t>
        </is>
      </c>
      <c r="B145" s="1" t="n">
        <v>45539</v>
      </c>
      <c r="C145" s="1" t="n">
        <v>46199</v>
      </c>
      <c r="D145" t="inlineStr">
        <is>
          <t>JÖNKÖPINGS LÄN</t>
        </is>
      </c>
      <c r="E145" t="inlineStr">
        <is>
          <t>TRANÅS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53447-2025</t>
        </is>
      </c>
      <c r="B146" s="1" t="n">
        <v>45959</v>
      </c>
      <c r="C146" s="1" t="n">
        <v>46199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2476-2026</t>
        </is>
      </c>
      <c r="B147" s="1" t="n">
        <v>46037</v>
      </c>
      <c r="C147" s="1" t="n">
        <v>46199</v>
      </c>
      <c r="D147" t="inlineStr">
        <is>
          <t>JÖNKÖPINGS LÄN</t>
        </is>
      </c>
      <c r="E147" t="inlineStr">
        <is>
          <t>TRANÅS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46127-2024</t>
        </is>
      </c>
      <c r="B148" s="1" t="n">
        <v>45581</v>
      </c>
      <c r="C148" s="1" t="n">
        <v>46199</v>
      </c>
      <c r="D148" t="inlineStr">
        <is>
          <t>JÖNKÖPINGS LÄN</t>
        </is>
      </c>
      <c r="E148" t="inlineStr">
        <is>
          <t>TRANÅS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54408-2025</t>
        </is>
      </c>
      <c r="B149" s="1" t="n">
        <v>45964</v>
      </c>
      <c r="C149" s="1" t="n">
        <v>46199</v>
      </c>
      <c r="D149" t="inlineStr">
        <is>
          <t>JÖNKÖPINGS LÄN</t>
        </is>
      </c>
      <c r="E149" t="inlineStr">
        <is>
          <t>TRANÅS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2365-2025</t>
        </is>
      </c>
      <c r="B150" s="1" t="n">
        <v>45673</v>
      </c>
      <c r="C150" s="1" t="n">
        <v>46199</v>
      </c>
      <c r="D150" t="inlineStr">
        <is>
          <t>JÖNKÖPINGS LÄN</t>
        </is>
      </c>
      <c r="E150" t="inlineStr">
        <is>
          <t>TRANÅS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2449-2026</t>
        </is>
      </c>
      <c r="B151" s="1" t="n">
        <v>46037</v>
      </c>
      <c r="C151" s="1" t="n">
        <v>46199</v>
      </c>
      <c r="D151" t="inlineStr">
        <is>
          <t>JÖNKÖPINGS LÄN</t>
        </is>
      </c>
      <c r="E151" t="inlineStr">
        <is>
          <t>TRANÅS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3458-2026</t>
        </is>
      </c>
      <c r="B152" s="1" t="n">
        <v>46042</v>
      </c>
      <c r="C152" s="1" t="n">
        <v>46199</v>
      </c>
      <c r="D152" t="inlineStr">
        <is>
          <t>JÖNKÖPINGS LÄN</t>
        </is>
      </c>
      <c r="E152" t="inlineStr">
        <is>
          <t>TRANÅS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3682-2026</t>
        </is>
      </c>
      <c r="B153" s="1" t="n">
        <v>46043</v>
      </c>
      <c r="C153" s="1" t="n">
        <v>46199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14920-2024</t>
        </is>
      </c>
      <c r="B154" s="1" t="n">
        <v>45398</v>
      </c>
      <c r="C154" s="1" t="n">
        <v>46199</v>
      </c>
      <c r="D154" t="inlineStr">
        <is>
          <t>JÖNKÖPINGS LÄN</t>
        </is>
      </c>
      <c r="E154" t="inlineStr">
        <is>
          <t>TRANÅS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54351-2025</t>
        </is>
      </c>
      <c r="B155" s="1" t="n">
        <v>45965</v>
      </c>
      <c r="C155" s="1" t="n">
        <v>46199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21319-2023</t>
        </is>
      </c>
      <c r="B156" s="1" t="n">
        <v>45062</v>
      </c>
      <c r="C156" s="1" t="n">
        <v>46199</v>
      </c>
      <c r="D156" t="inlineStr">
        <is>
          <t>JÖNKÖPINGS LÄN</t>
        </is>
      </c>
      <c r="E156" t="inlineStr">
        <is>
          <t>TRANÅS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37901-2025</t>
        </is>
      </c>
      <c r="B157" s="1" t="n">
        <v>45880</v>
      </c>
      <c r="C157" s="1" t="n">
        <v>46199</v>
      </c>
      <c r="D157" t="inlineStr">
        <is>
          <t>JÖNKÖPINGS LÄN</t>
        </is>
      </c>
      <c r="E157" t="inlineStr">
        <is>
          <t>TRANÅS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54992-2025</t>
        </is>
      </c>
      <c r="B158" s="1" t="n">
        <v>45967</v>
      </c>
      <c r="C158" s="1" t="n">
        <v>46199</v>
      </c>
      <c r="D158" t="inlineStr">
        <is>
          <t>JÖNKÖPINGS LÄN</t>
        </is>
      </c>
      <c r="E158" t="inlineStr">
        <is>
          <t>TRANÅS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20134-2024</t>
        </is>
      </c>
      <c r="B159" s="1" t="n">
        <v>45434</v>
      </c>
      <c r="C159" s="1" t="n">
        <v>46199</v>
      </c>
      <c r="D159" t="inlineStr">
        <is>
          <t>JÖNKÖPINGS LÄN</t>
        </is>
      </c>
      <c r="E159" t="inlineStr">
        <is>
          <t>TRANÅS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57130-2022</t>
        </is>
      </c>
      <c r="B160" s="1" t="n">
        <v>44895</v>
      </c>
      <c r="C160" s="1" t="n">
        <v>46199</v>
      </c>
      <c r="D160" t="inlineStr">
        <is>
          <t>JÖNKÖPINGS LÄN</t>
        </is>
      </c>
      <c r="E160" t="inlineStr">
        <is>
          <t>TRANÅS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56148-2025</t>
        </is>
      </c>
      <c r="B161" s="1" t="n">
        <v>45974</v>
      </c>
      <c r="C161" s="1" t="n">
        <v>46199</v>
      </c>
      <c r="D161" t="inlineStr">
        <is>
          <t>JÖNKÖPINGS LÄN</t>
        </is>
      </c>
      <c r="E161" t="inlineStr">
        <is>
          <t>TRANÅS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18496-2024</t>
        </is>
      </c>
      <c r="B162" s="1" t="n">
        <v>45425</v>
      </c>
      <c r="C162" s="1" t="n">
        <v>46199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6396-2026</t>
        </is>
      </c>
      <c r="B163" s="1" t="n">
        <v>46055</v>
      </c>
      <c r="C163" s="1" t="n">
        <v>46199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6110-2026</t>
        </is>
      </c>
      <c r="B164" s="1" t="n">
        <v>46053</v>
      </c>
      <c r="C164" s="1" t="n">
        <v>46199</v>
      </c>
      <c r="D164" t="inlineStr">
        <is>
          <t>JÖNKÖPINGS LÄN</t>
        </is>
      </c>
      <c r="E164" t="inlineStr">
        <is>
          <t>TRANÅS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6644-2026</t>
        </is>
      </c>
      <c r="B165" s="1" t="n">
        <v>46056</v>
      </c>
      <c r="C165" s="1" t="n">
        <v>46199</v>
      </c>
      <c r="D165" t="inlineStr">
        <is>
          <t>JÖNKÖPINGS LÄN</t>
        </is>
      </c>
      <c r="E165" t="inlineStr">
        <is>
          <t>TRANÅS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3421-2024</t>
        </is>
      </c>
      <c r="B166" s="1" t="n">
        <v>45319</v>
      </c>
      <c r="C166" s="1" t="n">
        <v>46199</v>
      </c>
      <c r="D166" t="inlineStr">
        <is>
          <t>JÖNKÖPINGS LÄN</t>
        </is>
      </c>
      <c r="E166" t="inlineStr">
        <is>
          <t>TRANÅS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7578-2026</t>
        </is>
      </c>
      <c r="B167" s="1" t="n">
        <v>46061</v>
      </c>
      <c r="C167" s="1" t="n">
        <v>46199</v>
      </c>
      <c r="D167" t="inlineStr">
        <is>
          <t>JÖNKÖPINGS LÄN</t>
        </is>
      </c>
      <c r="E167" t="inlineStr">
        <is>
          <t>TRANÅS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8313-2026</t>
        </is>
      </c>
      <c r="B168" s="1" t="n">
        <v>46064</v>
      </c>
      <c r="C168" s="1" t="n">
        <v>46199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13624-2023</t>
        </is>
      </c>
      <c r="B169" s="1" t="n">
        <v>45006</v>
      </c>
      <c r="C169" s="1" t="n">
        <v>46199</v>
      </c>
      <c r="D169" t="inlineStr">
        <is>
          <t>JÖNKÖPINGS LÄN</t>
        </is>
      </c>
      <c r="E169" t="inlineStr">
        <is>
          <t>TRANÅS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8442-2026</t>
        </is>
      </c>
      <c r="B170" s="1" t="n">
        <v>46065</v>
      </c>
      <c r="C170" s="1" t="n">
        <v>46199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8418-2026</t>
        </is>
      </c>
      <c r="B171" s="1" t="n">
        <v>46065</v>
      </c>
      <c r="C171" s="1" t="n">
        <v>46199</v>
      </c>
      <c r="D171" t="inlineStr">
        <is>
          <t>JÖNKÖPINGS LÄN</t>
        </is>
      </c>
      <c r="E171" t="inlineStr">
        <is>
          <t>TRANÅS</t>
        </is>
      </c>
      <c r="F171" t="inlineStr">
        <is>
          <t>Kyrkan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8434-2026</t>
        </is>
      </c>
      <c r="B172" s="1" t="n">
        <v>46065</v>
      </c>
      <c r="C172" s="1" t="n">
        <v>46199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8820-2026</t>
        </is>
      </c>
      <c r="B173" s="1" t="n">
        <v>46066</v>
      </c>
      <c r="C173" s="1" t="n">
        <v>46199</v>
      </c>
      <c r="D173" t="inlineStr">
        <is>
          <t>JÖNKÖPINGS LÄN</t>
        </is>
      </c>
      <c r="E173" t="inlineStr">
        <is>
          <t>TRANÅS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40098-2021</t>
        </is>
      </c>
      <c r="B174" s="1" t="n">
        <v>44418</v>
      </c>
      <c r="C174" s="1" t="n">
        <v>46199</v>
      </c>
      <c r="D174" t="inlineStr">
        <is>
          <t>JÖNKÖPINGS LÄN</t>
        </is>
      </c>
      <c r="E174" t="inlineStr">
        <is>
          <t>TRANÅS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8446-2026</t>
        </is>
      </c>
      <c r="B175" s="1" t="n">
        <v>46065</v>
      </c>
      <c r="C175" s="1" t="n">
        <v>46199</v>
      </c>
      <c r="D175" t="inlineStr">
        <is>
          <t>JÖNKÖPINGS LÄN</t>
        </is>
      </c>
      <c r="E175" t="inlineStr">
        <is>
          <t>TRANÅS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6919-2023</t>
        </is>
      </c>
      <c r="B176" s="1" t="n">
        <v>44967</v>
      </c>
      <c r="C176" s="1" t="n">
        <v>46199</v>
      </c>
      <c r="D176" t="inlineStr">
        <is>
          <t>JÖNKÖPINGS LÄN</t>
        </is>
      </c>
      <c r="E176" t="inlineStr">
        <is>
          <t>TRANÅS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61017-2024</t>
        </is>
      </c>
      <c r="B177" s="1" t="n">
        <v>45644</v>
      </c>
      <c r="C177" s="1" t="n">
        <v>46199</v>
      </c>
      <c r="D177" t="inlineStr">
        <is>
          <t>JÖNKÖPINGS LÄN</t>
        </is>
      </c>
      <c r="E177" t="inlineStr">
        <is>
          <t>TRANÅS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8351-2023</t>
        </is>
      </c>
      <c r="B178" s="1" t="n">
        <v>44977</v>
      </c>
      <c r="C178" s="1" t="n">
        <v>46199</v>
      </c>
      <c r="D178" t="inlineStr">
        <is>
          <t>JÖNKÖPINGS LÄN</t>
        </is>
      </c>
      <c r="E178" t="inlineStr">
        <is>
          <t>TRANÅS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49256-2024</t>
        </is>
      </c>
      <c r="B179" s="1" t="n">
        <v>45595</v>
      </c>
      <c r="C179" s="1" t="n">
        <v>46199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13643-2026</t>
        </is>
      </c>
      <c r="B180" s="1" t="n">
        <v>46097</v>
      </c>
      <c r="C180" s="1" t="n">
        <v>46199</v>
      </c>
      <c r="D180" t="inlineStr">
        <is>
          <t>JÖNKÖPINGS LÄN</t>
        </is>
      </c>
      <c r="E180" t="inlineStr">
        <is>
          <t>TRANÅS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14287-2026</t>
        </is>
      </c>
      <c r="B181" s="1" t="n">
        <v>46099</v>
      </c>
      <c r="C181" s="1" t="n">
        <v>46199</v>
      </c>
      <c r="D181" t="inlineStr">
        <is>
          <t>JÖNKÖPINGS LÄN</t>
        </is>
      </c>
      <c r="E181" t="inlineStr">
        <is>
          <t>TRANÅS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14290-2026</t>
        </is>
      </c>
      <c r="B182" s="1" t="n">
        <v>46099</v>
      </c>
      <c r="C182" s="1" t="n">
        <v>46199</v>
      </c>
      <c r="D182" t="inlineStr">
        <is>
          <t>JÖNKÖPINGS LÄN</t>
        </is>
      </c>
      <c r="E182" t="inlineStr">
        <is>
          <t>TRANÅS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14278-2026</t>
        </is>
      </c>
      <c r="B183" s="1" t="n">
        <v>46099</v>
      </c>
      <c r="C183" s="1" t="n">
        <v>46199</v>
      </c>
      <c r="D183" t="inlineStr">
        <is>
          <t>JÖNKÖPINGS LÄN</t>
        </is>
      </c>
      <c r="E183" t="inlineStr">
        <is>
          <t>TRANÅS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47902-2022</t>
        </is>
      </c>
      <c r="B184" s="1" t="n">
        <v>44855</v>
      </c>
      <c r="C184" s="1" t="n">
        <v>46199</v>
      </c>
      <c r="D184" t="inlineStr">
        <is>
          <t>JÖNKÖPINGS LÄN</t>
        </is>
      </c>
      <c r="E184" t="inlineStr">
        <is>
          <t>TRANÅS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59171-2024</t>
        </is>
      </c>
      <c r="B185" s="1" t="n">
        <v>45637</v>
      </c>
      <c r="C185" s="1" t="n">
        <v>46199</v>
      </c>
      <c r="D185" t="inlineStr">
        <is>
          <t>JÖNKÖPINGS LÄN</t>
        </is>
      </c>
      <c r="E185" t="inlineStr">
        <is>
          <t>TRANÅS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15838-2026</t>
        </is>
      </c>
      <c r="B186" s="1" t="n">
        <v>46107</v>
      </c>
      <c r="C186" s="1" t="n">
        <v>46199</v>
      </c>
      <c r="D186" t="inlineStr">
        <is>
          <t>JÖNKÖPINGS LÄN</t>
        </is>
      </c>
      <c r="E186" t="inlineStr">
        <is>
          <t>TRANÅS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32871-2021</t>
        </is>
      </c>
      <c r="B187" s="1" t="n">
        <v>44375</v>
      </c>
      <c r="C187" s="1" t="n">
        <v>46199</v>
      </c>
      <c r="D187" t="inlineStr">
        <is>
          <t>JÖNKÖPINGS LÄN</t>
        </is>
      </c>
      <c r="E187" t="inlineStr">
        <is>
          <t>TRANÅS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7583-2023</t>
        </is>
      </c>
      <c r="B188" s="1" t="n">
        <v>44972</v>
      </c>
      <c r="C188" s="1" t="n">
        <v>46199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16153-2023</t>
        </is>
      </c>
      <c r="B189" s="1" t="n">
        <v>45027</v>
      </c>
      <c r="C189" s="1" t="n">
        <v>46199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48507-2021</t>
        </is>
      </c>
      <c r="B190" s="1" t="n">
        <v>44452</v>
      </c>
      <c r="C190" s="1" t="n">
        <v>46199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19332-2025</t>
        </is>
      </c>
      <c r="B191" s="1" t="n">
        <v>45769</v>
      </c>
      <c r="C191" s="1" t="n">
        <v>46199</v>
      </c>
      <c r="D191" t="inlineStr">
        <is>
          <t>JÖNKÖPINGS LÄN</t>
        </is>
      </c>
      <c r="E191" t="inlineStr">
        <is>
          <t>TRANÅS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24708-2023</t>
        </is>
      </c>
      <c r="B192" s="1" t="n">
        <v>45084</v>
      </c>
      <c r="C192" s="1" t="n">
        <v>46199</v>
      </c>
      <c r="D192" t="inlineStr">
        <is>
          <t>JÖNKÖPINGS LÄN</t>
        </is>
      </c>
      <c r="E192" t="inlineStr">
        <is>
          <t>TRANÅS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9750-2025</t>
        </is>
      </c>
      <c r="B193" s="1" t="n">
        <v>45716</v>
      </c>
      <c r="C193" s="1" t="n">
        <v>46199</v>
      </c>
      <c r="D193" t="inlineStr">
        <is>
          <t>JÖNKÖPINGS LÄN</t>
        </is>
      </c>
      <c r="E193" t="inlineStr">
        <is>
          <t>TRANÅS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18728-2024</t>
        </is>
      </c>
      <c r="B194" s="1" t="n">
        <v>45426</v>
      </c>
      <c r="C194" s="1" t="n">
        <v>46199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39652-2021</t>
        </is>
      </c>
      <c r="B195" s="1" t="n">
        <v>44417</v>
      </c>
      <c r="C195" s="1" t="n">
        <v>46199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61393-2023</t>
        </is>
      </c>
      <c r="B196" s="1" t="n">
        <v>45261</v>
      </c>
      <c r="C196" s="1" t="n">
        <v>46199</v>
      </c>
      <c r="D196" t="inlineStr">
        <is>
          <t>JÖNKÖPINGS LÄN</t>
        </is>
      </c>
      <c r="E196" t="inlineStr">
        <is>
          <t>TRANÅS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40564-2024</t>
        </is>
      </c>
      <c r="B197" s="1" t="n">
        <v>45555</v>
      </c>
      <c r="C197" s="1" t="n">
        <v>46199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28139-2023</t>
        </is>
      </c>
      <c r="B198" s="1" t="n">
        <v>45099</v>
      </c>
      <c r="C198" s="1" t="n">
        <v>46199</v>
      </c>
      <c r="D198" t="inlineStr">
        <is>
          <t>JÖNKÖPINGS LÄN</t>
        </is>
      </c>
      <c r="E198" t="inlineStr">
        <is>
          <t>TRANÅS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61702-2022</t>
        </is>
      </c>
      <c r="B199" s="1" t="n">
        <v>44917</v>
      </c>
      <c r="C199" s="1" t="n">
        <v>46199</v>
      </c>
      <c r="D199" t="inlineStr">
        <is>
          <t>JÖNKÖPINGS LÄN</t>
        </is>
      </c>
      <c r="E199" t="inlineStr">
        <is>
          <t>TRANÅS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24068-2026</t>
        </is>
      </c>
      <c r="B200" s="1" t="n">
        <v>46164</v>
      </c>
      <c r="C200" s="1" t="n">
        <v>46199</v>
      </c>
      <c r="D200" t="inlineStr">
        <is>
          <t>JÖNKÖPINGS LÄN</t>
        </is>
      </c>
      <c r="E200" t="inlineStr">
        <is>
          <t>TRANÅS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28997-2023</t>
        </is>
      </c>
      <c r="B201" s="1" t="n">
        <v>45104</v>
      </c>
      <c r="C201" s="1" t="n">
        <v>46199</v>
      </c>
      <c r="D201" t="inlineStr">
        <is>
          <t>JÖNKÖPINGS LÄN</t>
        </is>
      </c>
      <c r="E201" t="inlineStr">
        <is>
          <t>TRANÅS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52714-2024</t>
        </is>
      </c>
      <c r="B202" s="1" t="n">
        <v>45610</v>
      </c>
      <c r="C202" s="1" t="n">
        <v>46199</v>
      </c>
      <c r="D202" t="inlineStr">
        <is>
          <t>JÖNKÖPINGS LÄN</t>
        </is>
      </c>
      <c r="E202" t="inlineStr">
        <is>
          <t>TRANÅS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25090-2026</t>
        </is>
      </c>
      <c r="B203" s="1" t="n">
        <v>46175</v>
      </c>
      <c r="C203" s="1" t="n">
        <v>46199</v>
      </c>
      <c r="D203" t="inlineStr">
        <is>
          <t>JÖNKÖPINGS LÄN</t>
        </is>
      </c>
      <c r="E203" t="inlineStr">
        <is>
          <t>TRANÅS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16587-2024</t>
        </is>
      </c>
      <c r="B204" s="1" t="n">
        <v>45408</v>
      </c>
      <c r="C204" s="1" t="n">
        <v>46199</v>
      </c>
      <c r="D204" t="inlineStr">
        <is>
          <t>JÖNKÖPINGS LÄN</t>
        </is>
      </c>
      <c r="E204" t="inlineStr">
        <is>
          <t>TRANÅS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19328-2025</t>
        </is>
      </c>
      <c r="B205" s="1" t="n">
        <v>45769</v>
      </c>
      <c r="C205" s="1" t="n">
        <v>46199</v>
      </c>
      <c r="D205" t="inlineStr">
        <is>
          <t>JÖNKÖPINGS LÄN</t>
        </is>
      </c>
      <c r="E205" t="inlineStr">
        <is>
          <t>TRANÅS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5898-2024</t>
        </is>
      </c>
      <c r="B206" s="1" t="n">
        <v>45335</v>
      </c>
      <c r="C206" s="1" t="n">
        <v>46199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7940-2023</t>
        </is>
      </c>
      <c r="B207" s="1" t="n">
        <v>44973</v>
      </c>
      <c r="C207" s="1" t="n">
        <v>46199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27786-2024</t>
        </is>
      </c>
      <c r="B208" s="1" t="n">
        <v>45475</v>
      </c>
      <c r="C208" s="1" t="n">
        <v>46199</v>
      </c>
      <c r="D208" t="inlineStr">
        <is>
          <t>JÖNKÖPINGS LÄN</t>
        </is>
      </c>
      <c r="E208" t="inlineStr">
        <is>
          <t>TRANÅS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30144-2024</t>
        </is>
      </c>
      <c r="B209" s="1" t="n">
        <v>45489</v>
      </c>
      <c r="C209" s="1" t="n">
        <v>46199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25806-2026</t>
        </is>
      </c>
      <c r="B210" s="1" t="n">
        <v>46178</v>
      </c>
      <c r="C210" s="1" t="n">
        <v>46199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37949-2023</t>
        </is>
      </c>
      <c r="B211" s="1" t="n">
        <v>45159</v>
      </c>
      <c r="C211" s="1" t="n">
        <v>46199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10453-2025</t>
        </is>
      </c>
      <c r="B212" s="1" t="n">
        <v>45720</v>
      </c>
      <c r="C212" s="1" t="n">
        <v>46199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19853-2026</t>
        </is>
      </c>
      <c r="B213" s="1" t="n">
        <v>46135</v>
      </c>
      <c r="C213" s="1" t="n">
        <v>46199</v>
      </c>
      <c r="D213" t="inlineStr">
        <is>
          <t>JÖNKÖPINGS LÄN</t>
        </is>
      </c>
      <c r="E213" t="inlineStr">
        <is>
          <t>TRANÅS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41496-2023</t>
        </is>
      </c>
      <c r="B214" s="1" t="n">
        <v>45175</v>
      </c>
      <c r="C214" s="1" t="n">
        <v>46199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14286-2024</t>
        </is>
      </c>
      <c r="B215" s="1" t="n">
        <v>45393</v>
      </c>
      <c r="C215" s="1" t="n">
        <v>46199</v>
      </c>
      <c r="D215" t="inlineStr">
        <is>
          <t>JÖNKÖPINGS LÄN</t>
        </is>
      </c>
      <c r="E215" t="inlineStr">
        <is>
          <t>TRANÅS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12654-2024</t>
        </is>
      </c>
      <c r="B216" s="1" t="n">
        <v>45379</v>
      </c>
      <c r="C216" s="1" t="n">
        <v>46199</v>
      </c>
      <c r="D216" t="inlineStr">
        <is>
          <t>JÖNKÖPINGS LÄN</t>
        </is>
      </c>
      <c r="E216" t="inlineStr">
        <is>
          <t>TRANÅS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21351-2025</t>
        </is>
      </c>
      <c r="B217" s="1" t="n">
        <v>45782</v>
      </c>
      <c r="C217" s="1" t="n">
        <v>46199</v>
      </c>
      <c r="D217" t="inlineStr">
        <is>
          <t>JÖNKÖPINGS LÄN</t>
        </is>
      </c>
      <c r="E217" t="inlineStr">
        <is>
          <t>TRANÅS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19983-2026</t>
        </is>
      </c>
      <c r="B218" s="1" t="n">
        <v>46136</v>
      </c>
      <c r="C218" s="1" t="n">
        <v>46199</v>
      </c>
      <c r="D218" t="inlineStr">
        <is>
          <t>JÖNKÖPINGS LÄN</t>
        </is>
      </c>
      <c r="E218" t="inlineStr">
        <is>
          <t>TRANÅS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73249-2021</t>
        </is>
      </c>
      <c r="B219" s="1" t="n">
        <v>44550</v>
      </c>
      <c r="C219" s="1" t="n">
        <v>46199</v>
      </c>
      <c r="D219" t="inlineStr">
        <is>
          <t>JÖNKÖPINGS LÄN</t>
        </is>
      </c>
      <c r="E219" t="inlineStr">
        <is>
          <t>TRANÅS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48315-2023</t>
        </is>
      </c>
      <c r="B220" s="1" t="n">
        <v>45201</v>
      </c>
      <c r="C220" s="1" t="n">
        <v>46199</v>
      </c>
      <c r="D220" t="inlineStr">
        <is>
          <t>JÖNKÖPINGS LÄN</t>
        </is>
      </c>
      <c r="E220" t="inlineStr">
        <is>
          <t>TRANÅS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23984-2023</t>
        </is>
      </c>
      <c r="B221" s="1" t="n">
        <v>45078</v>
      </c>
      <c r="C221" s="1" t="n">
        <v>46199</v>
      </c>
      <c r="D221" t="inlineStr">
        <is>
          <t>JÖNKÖPINGS LÄN</t>
        </is>
      </c>
      <c r="E221" t="inlineStr">
        <is>
          <t>TRANÅS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23993-2023</t>
        </is>
      </c>
      <c r="B222" s="1" t="n">
        <v>45078</v>
      </c>
      <c r="C222" s="1" t="n">
        <v>46199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8874-2022</t>
        </is>
      </c>
      <c r="B223" s="1" t="n">
        <v>44614</v>
      </c>
      <c r="C223" s="1" t="n">
        <v>46199</v>
      </c>
      <c r="D223" t="inlineStr">
        <is>
          <t>JÖNKÖPINGS LÄN</t>
        </is>
      </c>
      <c r="E223" t="inlineStr">
        <is>
          <t>TRANÅS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1613-2022</t>
        </is>
      </c>
      <c r="B224" s="1" t="n">
        <v>44573</v>
      </c>
      <c r="C224" s="1" t="n">
        <v>46199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7333-2024</t>
        </is>
      </c>
      <c r="B225" s="1" t="n">
        <v>45345</v>
      </c>
      <c r="C225" s="1" t="n">
        <v>46199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16150-2023</t>
        </is>
      </c>
      <c r="B226" s="1" t="n">
        <v>45027</v>
      </c>
      <c r="C226" s="1" t="n">
        <v>46199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12214-2022</t>
        </is>
      </c>
      <c r="B227" s="1" t="n">
        <v>44637</v>
      </c>
      <c r="C227" s="1" t="n">
        <v>46199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9705-2022</t>
        </is>
      </c>
      <c r="B228" s="1" t="n">
        <v>44617</v>
      </c>
      <c r="C228" s="1" t="n">
        <v>46199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46854-2024</t>
        </is>
      </c>
      <c r="B229" s="1" t="n">
        <v>45583</v>
      </c>
      <c r="C229" s="1" t="n">
        <v>46199</v>
      </c>
      <c r="D229" t="inlineStr">
        <is>
          <t>JÖNKÖPINGS LÄN</t>
        </is>
      </c>
      <c r="E229" t="inlineStr">
        <is>
          <t>TRANÅS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4153-2025</t>
        </is>
      </c>
      <c r="B230" s="1" t="n">
        <v>45685</v>
      </c>
      <c r="C230" s="1" t="n">
        <v>46199</v>
      </c>
      <c r="D230" t="inlineStr">
        <is>
          <t>JÖNKÖPINGS LÄN</t>
        </is>
      </c>
      <c r="E230" t="inlineStr">
        <is>
          <t>TRANÅS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26512-2026</t>
        </is>
      </c>
      <c r="B231" s="1" t="n">
        <v>46182</v>
      </c>
      <c r="C231" s="1" t="n">
        <v>46199</v>
      </c>
      <c r="D231" t="inlineStr">
        <is>
          <t>JÖNKÖPINGS LÄN</t>
        </is>
      </c>
      <c r="E231" t="inlineStr">
        <is>
          <t>TRANÅS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21012-2022</t>
        </is>
      </c>
      <c r="B232" s="1" t="n">
        <v>44701</v>
      </c>
      <c r="C232" s="1" t="n">
        <v>46199</v>
      </c>
      <c r="D232" t="inlineStr">
        <is>
          <t>JÖNKÖPINGS LÄN</t>
        </is>
      </c>
      <c r="E232" t="inlineStr">
        <is>
          <t>TRANÅS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23031-2022</t>
        </is>
      </c>
      <c r="B233" s="1" t="n">
        <v>44719</v>
      </c>
      <c r="C233" s="1" t="n">
        <v>46199</v>
      </c>
      <c r="D233" t="inlineStr">
        <is>
          <t>JÖNKÖPINGS LÄN</t>
        </is>
      </c>
      <c r="E233" t="inlineStr">
        <is>
          <t>TRANÅS</t>
        </is>
      </c>
      <c r="F233" t="inlineStr">
        <is>
          <t>Kommuner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2768-2024</t>
        </is>
      </c>
      <c r="B234" s="1" t="n">
        <v>45314</v>
      </c>
      <c r="C234" s="1" t="n">
        <v>46199</v>
      </c>
      <c r="D234" t="inlineStr">
        <is>
          <t>JÖNKÖPINGS LÄN</t>
        </is>
      </c>
      <c r="E234" t="inlineStr">
        <is>
          <t>TRANÅS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20663-2022</t>
        </is>
      </c>
      <c r="B235" s="1" t="n">
        <v>44700</v>
      </c>
      <c r="C235" s="1" t="n">
        <v>46199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5995-2024</t>
        </is>
      </c>
      <c r="B236" s="1" t="n">
        <v>45336</v>
      </c>
      <c r="C236" s="1" t="n">
        <v>46199</v>
      </c>
      <c r="D236" t="inlineStr">
        <is>
          <t>JÖNKÖPINGS LÄN</t>
        </is>
      </c>
      <c r="E236" t="inlineStr">
        <is>
          <t>TRANÅS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27693-2026</t>
        </is>
      </c>
      <c r="B237" s="1" t="n">
        <v>46190</v>
      </c>
      <c r="C237" s="1" t="n">
        <v>46199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9800-2025</t>
        </is>
      </c>
      <c r="B238" s="1" t="n">
        <v>45715</v>
      </c>
      <c r="C238" s="1" t="n">
        <v>46199</v>
      </c>
      <c r="D238" t="inlineStr">
        <is>
          <t>JÖNKÖPINGS LÄN</t>
        </is>
      </c>
      <c r="E238" t="inlineStr">
        <is>
          <t>TRANÅS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26449-2022</t>
        </is>
      </c>
      <c r="B239" s="1" t="n">
        <v>44738</v>
      </c>
      <c r="C239" s="1" t="n">
        <v>46199</v>
      </c>
      <c r="D239" t="inlineStr">
        <is>
          <t>JÖNKÖPINGS LÄN</t>
        </is>
      </c>
      <c r="E239" t="inlineStr">
        <is>
          <t>TRANÅS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1714-2024</t>
        </is>
      </c>
      <c r="B240" s="1" t="n">
        <v>45307</v>
      </c>
      <c r="C240" s="1" t="n">
        <v>46199</v>
      </c>
      <c r="D240" t="inlineStr">
        <is>
          <t>JÖNKÖPINGS LÄN</t>
        </is>
      </c>
      <c r="E240" t="inlineStr">
        <is>
          <t>TRANÅS</t>
        </is>
      </c>
      <c r="F240" t="inlineStr">
        <is>
          <t>Kommuner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27686-2026</t>
        </is>
      </c>
      <c r="B241" s="1" t="n">
        <v>46190</v>
      </c>
      <c r="C241" s="1" t="n">
        <v>46199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27690-2026</t>
        </is>
      </c>
      <c r="B242" s="1" t="n">
        <v>46190</v>
      </c>
      <c r="C242" s="1" t="n">
        <v>46199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19494-2022</t>
        </is>
      </c>
      <c r="B243" s="1" t="n">
        <v>44693</v>
      </c>
      <c r="C243" s="1" t="n">
        <v>46199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48751-2021</t>
        </is>
      </c>
      <c r="B244" s="1" t="n">
        <v>44452</v>
      </c>
      <c r="C244" s="1" t="n">
        <v>46199</v>
      </c>
      <c r="D244" t="inlineStr">
        <is>
          <t>JÖNKÖPINGS LÄN</t>
        </is>
      </c>
      <c r="E244" t="inlineStr">
        <is>
          <t>TRANÅS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34518-2023</t>
        </is>
      </c>
      <c r="B245" s="1" t="n">
        <v>45140</v>
      </c>
      <c r="C245" s="1" t="n">
        <v>46199</v>
      </c>
      <c r="D245" t="inlineStr">
        <is>
          <t>JÖNKÖPINGS LÄN</t>
        </is>
      </c>
      <c r="E245" t="inlineStr">
        <is>
          <t>TRANÅS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45575-2022</t>
        </is>
      </c>
      <c r="B246" s="1" t="n">
        <v>44845</v>
      </c>
      <c r="C246" s="1" t="n">
        <v>46199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27957-2026</t>
        </is>
      </c>
      <c r="B247" s="1" t="n">
        <v>46194</v>
      </c>
      <c r="C247" s="1" t="n">
        <v>46199</v>
      </c>
      <c r="D247" t="inlineStr">
        <is>
          <t>JÖNKÖPINGS LÄN</t>
        </is>
      </c>
      <c r="E247" t="inlineStr">
        <is>
          <t>TRANÅS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39722-2024</t>
        </is>
      </c>
      <c r="B248" s="1" t="n">
        <v>45552</v>
      </c>
      <c r="C248" s="1" t="n">
        <v>46199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3711-2024</t>
        </is>
      </c>
      <c r="B249" s="1" t="n">
        <v>45321</v>
      </c>
      <c r="C249" s="1" t="n">
        <v>46199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11606-2023</t>
        </is>
      </c>
      <c r="B250" s="1" t="n">
        <v>44992</v>
      </c>
      <c r="C250" s="1" t="n">
        <v>46199</v>
      </c>
      <c r="D250" t="inlineStr">
        <is>
          <t>JÖNKÖPINGS LÄN</t>
        </is>
      </c>
      <c r="E250" t="inlineStr">
        <is>
          <t>TRANÅS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50202-2023</t>
        </is>
      </c>
      <c r="B251" s="1" t="n">
        <v>45215</v>
      </c>
      <c r="C251" s="1" t="n">
        <v>46199</v>
      </c>
      <c r="D251" t="inlineStr">
        <is>
          <t>JÖNKÖPINGS LÄN</t>
        </is>
      </c>
      <c r="E251" t="inlineStr">
        <is>
          <t>TRANÅS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28814-2026</t>
        </is>
      </c>
      <c r="B252" s="1" t="n">
        <v>46198</v>
      </c>
      <c r="C252" s="1" t="n">
        <v>46199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21459-2025</t>
        </is>
      </c>
      <c r="B253" s="1" t="n">
        <v>45782</v>
      </c>
      <c r="C253" s="1" t="n">
        <v>46199</v>
      </c>
      <c r="D253" t="inlineStr">
        <is>
          <t>JÖNKÖPINGS LÄN</t>
        </is>
      </c>
      <c r="E253" t="inlineStr">
        <is>
          <t>TRANÅS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60184-2024</t>
        </is>
      </c>
      <c r="B254" s="1" t="n">
        <v>45639</v>
      </c>
      <c r="C254" s="1" t="n">
        <v>46199</v>
      </c>
      <c r="D254" t="inlineStr">
        <is>
          <t>JÖNKÖPINGS LÄN</t>
        </is>
      </c>
      <c r="E254" t="inlineStr">
        <is>
          <t>TRANÅS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28580-2026</t>
        </is>
      </c>
      <c r="B255" s="1" t="n">
        <v>46197</v>
      </c>
      <c r="C255" s="1" t="n">
        <v>46199</v>
      </c>
      <c r="D255" t="inlineStr">
        <is>
          <t>JÖNKÖPINGS LÄN</t>
        </is>
      </c>
      <c r="E255" t="inlineStr">
        <is>
          <t>TRANÅS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52174-2025</t>
        </is>
      </c>
      <c r="B256" s="1" t="n">
        <v>45953</v>
      </c>
      <c r="C256" s="1" t="n">
        <v>46199</v>
      </c>
      <c r="D256" t="inlineStr">
        <is>
          <t>JÖNKÖPINGS LÄN</t>
        </is>
      </c>
      <c r="E256" t="inlineStr">
        <is>
          <t>TRANÅS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39600-2024</t>
        </is>
      </c>
      <c r="B257" s="1" t="n">
        <v>45552</v>
      </c>
      <c r="C257" s="1" t="n">
        <v>46199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29130-2023</t>
        </is>
      </c>
      <c r="B258" s="1" t="n">
        <v>45105</v>
      </c>
      <c r="C258" s="1" t="n">
        <v>46199</v>
      </c>
      <c r="D258" t="inlineStr">
        <is>
          <t>JÖNKÖPINGS LÄN</t>
        </is>
      </c>
      <c r="E258" t="inlineStr">
        <is>
          <t>TRANÅS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17964-2024</t>
        </is>
      </c>
      <c r="B259" s="1" t="n">
        <v>45419</v>
      </c>
      <c r="C259" s="1" t="n">
        <v>46199</v>
      </c>
      <c r="D259" t="inlineStr">
        <is>
          <t>JÖNKÖPINGS LÄN</t>
        </is>
      </c>
      <c r="E259" t="inlineStr">
        <is>
          <t>TRANÅS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12885-2023</t>
        </is>
      </c>
      <c r="B260" s="1" t="n">
        <v>45001</v>
      </c>
      <c r="C260" s="1" t="n">
        <v>46199</v>
      </c>
      <c r="D260" t="inlineStr">
        <is>
          <t>JÖNKÖPINGS LÄN</t>
        </is>
      </c>
      <c r="E260" t="inlineStr">
        <is>
          <t>TRANÅS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12474-2024</t>
        </is>
      </c>
      <c r="B261" s="1" t="n">
        <v>45379</v>
      </c>
      <c r="C261" s="1" t="n">
        <v>46199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12476-2024</t>
        </is>
      </c>
      <c r="B262" s="1" t="n">
        <v>45379</v>
      </c>
      <c r="C262" s="1" t="n">
        <v>46199</v>
      </c>
      <c r="D262" t="inlineStr">
        <is>
          <t>JÖNKÖPINGS LÄN</t>
        </is>
      </c>
      <c r="E262" t="inlineStr">
        <is>
          <t>TRANÅS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6043-2023</t>
        </is>
      </c>
      <c r="B263" s="1" t="n">
        <v>44964</v>
      </c>
      <c r="C263" s="1" t="n">
        <v>46199</v>
      </c>
      <c r="D263" t="inlineStr">
        <is>
          <t>JÖNKÖPINGS LÄN</t>
        </is>
      </c>
      <c r="E263" t="inlineStr">
        <is>
          <t>TRANÅS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3121-2025</t>
        </is>
      </c>
      <c r="B264" s="1" t="n">
        <v>45678</v>
      </c>
      <c r="C264" s="1" t="n">
        <v>46199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19771-2023</t>
        </is>
      </c>
      <c r="B265" s="1" t="n">
        <v>45051</v>
      </c>
      <c r="C265" s="1" t="n">
        <v>46199</v>
      </c>
      <c r="D265" t="inlineStr">
        <is>
          <t>JÖNKÖPINGS LÄN</t>
        </is>
      </c>
      <c r="E265" t="inlineStr">
        <is>
          <t>TRANÅS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31694-2024</t>
        </is>
      </c>
      <c r="B266" s="1" t="n">
        <v>45508</v>
      </c>
      <c r="C266" s="1" t="n">
        <v>46199</v>
      </c>
      <c r="D266" t="inlineStr">
        <is>
          <t>JÖNKÖPINGS LÄN</t>
        </is>
      </c>
      <c r="E266" t="inlineStr">
        <is>
          <t>TRANÅS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20549-2023</t>
        </is>
      </c>
      <c r="B267" s="1" t="n">
        <v>45057</v>
      </c>
      <c r="C267" s="1" t="n">
        <v>46199</v>
      </c>
      <c r="D267" t="inlineStr">
        <is>
          <t>JÖNKÖPINGS LÄN</t>
        </is>
      </c>
      <c r="E267" t="inlineStr">
        <is>
          <t>TRANÅS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17617-2023</t>
        </is>
      </c>
      <c r="B268" s="1" t="n">
        <v>45036</v>
      </c>
      <c r="C268" s="1" t="n">
        <v>46199</v>
      </c>
      <c r="D268" t="inlineStr">
        <is>
          <t>JÖNKÖPINGS LÄN</t>
        </is>
      </c>
      <c r="E268" t="inlineStr">
        <is>
          <t>TRANÅS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73785-2021</t>
        </is>
      </c>
      <c r="B269" s="1" t="n">
        <v>44552</v>
      </c>
      <c r="C269" s="1" t="n">
        <v>46199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8348-2023</t>
        </is>
      </c>
      <c r="B270" s="1" t="n">
        <v>44977</v>
      </c>
      <c r="C270" s="1" t="n">
        <v>46199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1516-2024</t>
        </is>
      </c>
      <c r="B271" s="1" t="n">
        <v>45306</v>
      </c>
      <c r="C271" s="1" t="n">
        <v>46199</v>
      </c>
      <c r="D271" t="inlineStr">
        <is>
          <t>JÖNKÖPINGS LÄN</t>
        </is>
      </c>
      <c r="E271" t="inlineStr">
        <is>
          <t>TRANÅS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21876-2023</t>
        </is>
      </c>
      <c r="B272" s="1" t="n">
        <v>45068</v>
      </c>
      <c r="C272" s="1" t="n">
        <v>46199</v>
      </c>
      <c r="D272" t="inlineStr">
        <is>
          <t>JÖNKÖPINGS LÄN</t>
        </is>
      </c>
      <c r="E272" t="inlineStr">
        <is>
          <t>TRANÅS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11630-2023</t>
        </is>
      </c>
      <c r="B273" s="1" t="n">
        <v>44992</v>
      </c>
      <c r="C273" s="1" t="n">
        <v>46199</v>
      </c>
      <c r="D273" t="inlineStr">
        <is>
          <t>JÖNKÖPINGS LÄN</t>
        </is>
      </c>
      <c r="E273" t="inlineStr">
        <is>
          <t>TRANÅS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40442-2022</t>
        </is>
      </c>
      <c r="B274" s="1" t="n">
        <v>44823</v>
      </c>
      <c r="C274" s="1" t="n">
        <v>46199</v>
      </c>
      <c r="D274" t="inlineStr">
        <is>
          <t>JÖNKÖPINGS LÄN</t>
        </is>
      </c>
      <c r="E274" t="inlineStr">
        <is>
          <t>TRANÅS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17567-2025</t>
        </is>
      </c>
      <c r="B275" s="1" t="n">
        <v>45757</v>
      </c>
      <c r="C275" s="1" t="n">
        <v>46199</v>
      </c>
      <c r="D275" t="inlineStr">
        <is>
          <t>JÖNKÖPINGS LÄN</t>
        </is>
      </c>
      <c r="E275" t="inlineStr">
        <is>
          <t>TRANÅS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17571-2025</t>
        </is>
      </c>
      <c r="B276" s="1" t="n">
        <v>45757</v>
      </c>
      <c r="C276" s="1" t="n">
        <v>46199</v>
      </c>
      <c r="D276" t="inlineStr">
        <is>
          <t>JÖNKÖPINGS LÄN</t>
        </is>
      </c>
      <c r="E276" t="inlineStr">
        <is>
          <t>TRANÅS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36105-2024</t>
        </is>
      </c>
      <c r="B277" s="1" t="n">
        <v>45533</v>
      </c>
      <c r="C277" s="1" t="n">
        <v>46199</v>
      </c>
      <c r="D277" t="inlineStr">
        <is>
          <t>JÖNKÖPINGS LÄN</t>
        </is>
      </c>
      <c r="E277" t="inlineStr">
        <is>
          <t>TRANÅS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2375-2023</t>
        </is>
      </c>
      <c r="B278" s="1" t="n">
        <v>44942</v>
      </c>
      <c r="C278" s="1" t="n">
        <v>46199</v>
      </c>
      <c r="D278" t="inlineStr">
        <is>
          <t>JÖNKÖPINGS LÄN</t>
        </is>
      </c>
      <c r="E278" t="inlineStr">
        <is>
          <t>TRANÅS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33508-2021</t>
        </is>
      </c>
      <c r="B279" s="1" t="n">
        <v>44377</v>
      </c>
      <c r="C279" s="1" t="n">
        <v>46199</v>
      </c>
      <c r="D279" t="inlineStr">
        <is>
          <t>JÖNKÖPINGS LÄN</t>
        </is>
      </c>
      <c r="E279" t="inlineStr">
        <is>
          <t>TRANÅS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9229-2025</t>
        </is>
      </c>
      <c r="B280" s="1" t="n">
        <v>45713</v>
      </c>
      <c r="C280" s="1" t="n">
        <v>46199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8999-2025</t>
        </is>
      </c>
      <c r="B281" s="1" t="n">
        <v>45712</v>
      </c>
      <c r="C281" s="1" t="n">
        <v>46199</v>
      </c>
      <c r="D281" t="inlineStr">
        <is>
          <t>JÖNKÖPINGS LÄN</t>
        </is>
      </c>
      <c r="E281" t="inlineStr">
        <is>
          <t>TRANÅS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2379-2023</t>
        </is>
      </c>
      <c r="B282" s="1" t="n">
        <v>44942</v>
      </c>
      <c r="C282" s="1" t="n">
        <v>46199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17578-2025</t>
        </is>
      </c>
      <c r="B283" s="1" t="n">
        <v>45757</v>
      </c>
      <c r="C283" s="1" t="n">
        <v>46199</v>
      </c>
      <c r="D283" t="inlineStr">
        <is>
          <t>JÖNKÖPINGS LÄN</t>
        </is>
      </c>
      <c r="E283" t="inlineStr">
        <is>
          <t>TRANÅS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57983-2024</t>
        </is>
      </c>
      <c r="B284" s="1" t="n">
        <v>45631</v>
      </c>
      <c r="C284" s="1" t="n">
        <v>46199</v>
      </c>
      <c r="D284" t="inlineStr">
        <is>
          <t>JÖNKÖPINGS LÄN</t>
        </is>
      </c>
      <c r="E284" t="inlineStr">
        <is>
          <t>TRANÅS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45787-2023</t>
        </is>
      </c>
      <c r="B285" s="1" t="n">
        <v>45195</v>
      </c>
      <c r="C285" s="1" t="n">
        <v>46199</v>
      </c>
      <c r="D285" t="inlineStr">
        <is>
          <t>JÖNKÖPINGS LÄN</t>
        </is>
      </c>
      <c r="E285" t="inlineStr">
        <is>
          <t>TRANÅS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20810-2025</t>
        </is>
      </c>
      <c r="B286" s="1" t="n">
        <v>45776</v>
      </c>
      <c r="C286" s="1" t="n">
        <v>46199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20625-2025</t>
        </is>
      </c>
      <c r="B287" s="1" t="n">
        <v>45776</v>
      </c>
      <c r="C287" s="1" t="n">
        <v>46199</v>
      </c>
      <c r="D287" t="inlineStr">
        <is>
          <t>JÖNKÖPINGS LÄN</t>
        </is>
      </c>
      <c r="E287" t="inlineStr">
        <is>
          <t>TRANÅS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2026-06-26T00:49:22Z</dcterms:created>
  <dcterms:modified xmlns:dcterms="http://purl.org/dc/terms/" xmlns:xsi="http://www.w3.org/2001/XMLSchema-instance" xsi:type="dcterms:W3CDTF">2026-06-26T00:49:22Z</dcterms:modified>
</cp:coreProperties>
</file>